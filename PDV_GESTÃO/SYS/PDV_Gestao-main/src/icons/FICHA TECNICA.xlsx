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Ediberto Celestino\Desktop\VARIAS PASTAS\GESTÃO DO PREÇO\"/>
    </mc:Choice>
  </mc:AlternateContent>
  <xr:revisionPtr revIDLastSave="0" documentId="13_ncr:1_{4DE09B15-9FA2-4AE5-81AA-7002278E592E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PRODUTOS" sheetId="25" r:id="rId1"/>
    <sheet name="ListaIngredientes" sheetId="2" r:id="rId2"/>
    <sheet name="Violino" sheetId="1" r:id="rId3"/>
    <sheet name="BOLO GELADO ABACAXI" sheetId="3" state="hidden" r:id="rId4"/>
    <sheet name="BRIG COLHER" sheetId="5" state="hidden" r:id="rId5"/>
    <sheet name="BRIG UNITARIO" sheetId="4" state="hidden" r:id="rId6"/>
    <sheet name="BRIGADEIRO DUO" sheetId="30" state="hidden" r:id="rId7"/>
    <sheet name="BARRA DE CHOCOLATE" sheetId="47" state="hidden" r:id="rId8"/>
    <sheet name="CAJUZINHO" sheetId="6" state="hidden" r:id="rId9"/>
    <sheet name="BEIJINHO" sheetId="17" state="hidden" r:id="rId10"/>
    <sheet name="COCADA CREMOSA" sheetId="44" state="hidden" r:id="rId11"/>
    <sheet name="ALFAJOR" sheetId="7" state="hidden" r:id="rId12"/>
    <sheet name="PALHA ITALIANNA" sheetId="8" state="hidden" r:id="rId13"/>
    <sheet name="EMPADA DE FRANGO" sheetId="10" state="hidden" r:id="rId14"/>
    <sheet name="EMPADA DE CARNE SECA" sheetId="42" state="hidden" r:id="rId15"/>
    <sheet name="EMPADA DE CAMARÃO" sheetId="41" state="hidden" r:id="rId16"/>
    <sheet name="QUICHE DE FRANGO" sheetId="9" state="hidden" r:id="rId17"/>
    <sheet name="QUICHE BACON" sheetId="11" state="hidden" r:id="rId18"/>
    <sheet name="CHARGE" sheetId="14" state="hidden" r:id="rId19"/>
    <sheet name="BISCOITINHO DE COCO COM CANELA" sheetId="12" state="hidden" r:id="rId20"/>
    <sheet name="BISCOITINHO DE LIMÃO" sheetId="15" state="hidden" r:id="rId21"/>
    <sheet name="COOKIES" sheetId="33" state="hidden" r:id="rId22"/>
    <sheet name="PÃO DE FORMA" sheetId="18" state="hidden" r:id="rId23"/>
    <sheet name="GRANOLA" sheetId="19" state="hidden" r:id="rId24"/>
    <sheet name="TORTINHA DE FRANGO" sheetId="16" state="hidden" r:id="rId25"/>
    <sheet name="TORTINHA DE CAMARÃO" sheetId="43" state="hidden" r:id="rId26"/>
    <sheet name="BOLO DE PRESTIGIO" sheetId="21" state="hidden" r:id="rId27"/>
    <sheet name="TORTA SONHO DE VALSA" sheetId="22" state="hidden" r:id="rId28"/>
    <sheet name="NAKED P" sheetId="20" state="hidden" r:id="rId29"/>
    <sheet name="NAKED M" sheetId="23" state="hidden" r:id="rId30"/>
    <sheet name="NAKED G" sheetId="24" state="hidden" r:id="rId31"/>
    <sheet name="PIZZA" sheetId="31" state="hidden" r:id="rId32"/>
    <sheet name="TARTELETE" sheetId="29" state="hidden" r:id="rId33"/>
    <sheet name="MINI VULCÃO" sheetId="35" state="hidden" r:id="rId34"/>
    <sheet name="MUNGUNZÁ" sheetId="36" state="hidden" r:id="rId35"/>
    <sheet name="TORTA FUNCIONAL" sheetId="32" state="hidden" r:id="rId36"/>
    <sheet name="BOLO DE BANANA" sheetId="52" state="hidden" r:id="rId37"/>
    <sheet name="NAKED PP FUNCIONAL" sheetId="45" state="hidden" r:id="rId38"/>
    <sheet name="NAKED PP LOW CARB" sheetId="46" state="hidden" r:id="rId39"/>
    <sheet name="PANQUECA DE FRANGO" sheetId="37" state="hidden" r:id="rId40"/>
    <sheet name="PANQUECA DE CARNE" sheetId="48" state="hidden" r:id="rId41"/>
    <sheet name="LASANHA DE BERINJELA" sheetId="38" state="hidden" r:id="rId42"/>
    <sheet name="BERINJELA DE CARNE" sheetId="49" state="hidden" r:id="rId43"/>
    <sheet name="CALDO DE FRANGO" sheetId="39" state="hidden" r:id="rId44"/>
    <sheet name="CALDO DE CARNE" sheetId="40" state="hidden" r:id="rId45"/>
    <sheet name="MODELO" sheetId="34" state="hidden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E6" i="1"/>
  <c r="C2" i="1"/>
  <c r="C5" i="1"/>
  <c r="L32" i="1"/>
  <c r="L31" i="1"/>
  <c r="K23" i="1"/>
  <c r="K24" i="1"/>
  <c r="L13" i="1"/>
  <c r="L7" i="1"/>
  <c r="D10" i="1"/>
  <c r="D11" i="1"/>
  <c r="D12" i="1"/>
  <c r="D13" i="1"/>
  <c r="D14" i="1"/>
  <c r="D15" i="1"/>
  <c r="D16" i="1"/>
  <c r="F6" i="2"/>
  <c r="F10" i="1"/>
  <c r="L11" i="25" l="1"/>
  <c r="M11" i="25"/>
  <c r="M1" i="25"/>
  <c r="F86" i="25" l="1"/>
  <c r="F83" i="25"/>
  <c r="F80" i="25"/>
  <c r="F77" i="25"/>
  <c r="F74" i="25"/>
  <c r="F71" i="25"/>
  <c r="F68" i="25"/>
  <c r="F65" i="25"/>
  <c r="F62" i="25"/>
  <c r="F59" i="25"/>
  <c r="F56" i="25"/>
  <c r="F53" i="25"/>
  <c r="F50" i="25"/>
  <c r="F47" i="25"/>
  <c r="F44" i="25"/>
  <c r="F41" i="25"/>
  <c r="F38" i="25"/>
  <c r="F35" i="25"/>
  <c r="F32" i="25"/>
  <c r="F29" i="25"/>
  <c r="F26" i="25"/>
  <c r="M2" i="25"/>
  <c r="N3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F166" i="25"/>
  <c r="F167" i="25"/>
  <c r="F169" i="25"/>
  <c r="F170" i="25"/>
  <c r="F171" i="25"/>
  <c r="F172" i="25"/>
  <c r="F173" i="25"/>
  <c r="F174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0" i="25"/>
  <c r="F191" i="25"/>
  <c r="F192" i="25"/>
  <c r="F193" i="25"/>
  <c r="F194" i="25"/>
  <c r="F195" i="25"/>
  <c r="F196" i="25"/>
  <c r="F197" i="25"/>
  <c r="F198" i="25"/>
  <c r="F199" i="25"/>
  <c r="F200" i="25"/>
  <c r="A91" i="25"/>
  <c r="A90" i="25"/>
  <c r="A10" i="25"/>
  <c r="A9" i="25"/>
  <c r="C1" i="40"/>
  <c r="C1" i="39"/>
  <c r="C1" i="49"/>
  <c r="C1" i="38"/>
  <c r="C1" i="48"/>
  <c r="C1" i="37"/>
  <c r="C1" i="46"/>
  <c r="C1" i="45"/>
  <c r="C1" i="52"/>
  <c r="C1" i="32"/>
  <c r="C1" i="36"/>
  <c r="C1" i="35"/>
  <c r="C1" i="29"/>
  <c r="C1" i="31"/>
  <c r="C1" i="24"/>
  <c r="C1" i="23"/>
  <c r="C1" i="20"/>
  <c r="C1" i="22"/>
  <c r="C1" i="21"/>
  <c r="C1" i="43"/>
  <c r="C1" i="16"/>
  <c r="C1" i="19"/>
  <c r="C1" i="18"/>
  <c r="C1" i="33"/>
  <c r="C1" i="15"/>
  <c r="C1" i="12"/>
  <c r="C1" i="14"/>
  <c r="C1" i="11"/>
  <c r="C1" i="9"/>
  <c r="C1" i="41"/>
  <c r="C1" i="42"/>
  <c r="C1" i="10"/>
  <c r="C1" i="8"/>
  <c r="C1" i="7"/>
  <c r="C1" i="44"/>
  <c r="C1" i="17"/>
  <c r="C1" i="6"/>
  <c r="C1" i="47"/>
  <c r="F45" i="2" l="1"/>
  <c r="H28" i="52"/>
  <c r="H28" i="49" l="1"/>
  <c r="H28" i="48"/>
  <c r="H28" i="38"/>
  <c r="H28" i="46" l="1"/>
  <c r="H28" i="45"/>
  <c r="N43" i="2"/>
  <c r="N39" i="2"/>
  <c r="N37" i="2"/>
  <c r="N35" i="2"/>
  <c r="N34" i="2"/>
  <c r="H27" i="43"/>
  <c r="H28" i="42"/>
  <c r="N32" i="2"/>
  <c r="N30" i="2"/>
  <c r="N29" i="2"/>
  <c r="N28" i="2"/>
  <c r="N27" i="2"/>
  <c r="N26" i="2"/>
  <c r="N25" i="2"/>
  <c r="N22" i="2"/>
  <c r="N21" i="2"/>
  <c r="N18" i="2"/>
  <c r="O17" i="2"/>
  <c r="J17" i="2"/>
  <c r="H28" i="32" l="1"/>
  <c r="F159" i="2" l="1"/>
  <c r="F158" i="2"/>
  <c r="J167" i="25" l="1"/>
  <c r="K167" i="25" s="1"/>
  <c r="J169" i="25"/>
  <c r="K169" i="25" s="1"/>
  <c r="J170" i="25"/>
  <c r="K170" i="25" s="1"/>
  <c r="J171" i="25"/>
  <c r="K171" i="25" s="1"/>
  <c r="J172" i="25"/>
  <c r="K172" i="25" s="1"/>
  <c r="J173" i="25"/>
  <c r="K173" i="25" s="1"/>
  <c r="J174" i="25"/>
  <c r="K174" i="25" s="1"/>
  <c r="J175" i="25"/>
  <c r="K175" i="25" s="1"/>
  <c r="J176" i="25"/>
  <c r="K176" i="25" s="1"/>
  <c r="J177" i="25"/>
  <c r="K177" i="25" s="1"/>
  <c r="J178" i="25"/>
  <c r="K178" i="25" s="1"/>
  <c r="J179" i="25"/>
  <c r="K179" i="25" s="1"/>
  <c r="J180" i="25"/>
  <c r="K180" i="25" s="1"/>
  <c r="J181" i="25"/>
  <c r="K181" i="25" s="1"/>
  <c r="J182" i="25"/>
  <c r="K182" i="25" s="1"/>
  <c r="J183" i="25"/>
  <c r="K183" i="25" s="1"/>
  <c r="J184" i="25"/>
  <c r="K184" i="25" s="1"/>
  <c r="J185" i="25"/>
  <c r="K185" i="25" s="1"/>
  <c r="J186" i="25"/>
  <c r="K186" i="25" s="1"/>
  <c r="J187" i="25"/>
  <c r="K187" i="25" s="1"/>
  <c r="J188" i="25"/>
  <c r="K188" i="25" s="1"/>
  <c r="J189" i="25"/>
  <c r="K189" i="25" s="1"/>
  <c r="J190" i="25"/>
  <c r="K190" i="25" s="1"/>
  <c r="J191" i="25"/>
  <c r="K191" i="25" s="1"/>
  <c r="J192" i="25"/>
  <c r="K192" i="25" s="1"/>
  <c r="J193" i="25"/>
  <c r="K193" i="25" s="1"/>
  <c r="J194" i="25"/>
  <c r="K194" i="25" s="1"/>
  <c r="J195" i="25"/>
  <c r="K195" i="25" s="1"/>
  <c r="J196" i="25"/>
  <c r="K196" i="25" s="1"/>
  <c r="J197" i="25"/>
  <c r="K197" i="25" s="1"/>
  <c r="J198" i="25"/>
  <c r="K198" i="25" s="1"/>
  <c r="J199" i="25"/>
  <c r="K199" i="25" s="1"/>
  <c r="J200" i="25"/>
  <c r="K200" i="25" s="1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J92" i="25"/>
  <c r="K92" i="25" s="1"/>
  <c r="J93" i="25"/>
  <c r="K93" i="25" s="1"/>
  <c r="J94" i="25"/>
  <c r="K94" i="25" s="1"/>
  <c r="J95" i="25"/>
  <c r="K95" i="25" s="1"/>
  <c r="J96" i="25"/>
  <c r="K96" i="25" s="1"/>
  <c r="J97" i="25"/>
  <c r="K97" i="25" s="1"/>
  <c r="J98" i="25"/>
  <c r="K98" i="25" s="1"/>
  <c r="J99" i="25"/>
  <c r="K99" i="25" s="1"/>
  <c r="J100" i="25"/>
  <c r="K100" i="25" s="1"/>
  <c r="J101" i="25"/>
  <c r="K101" i="25" s="1"/>
  <c r="J102" i="25"/>
  <c r="K102" i="25" s="1"/>
  <c r="J103" i="25"/>
  <c r="K103" i="25" s="1"/>
  <c r="J104" i="25"/>
  <c r="K104" i="25" s="1"/>
  <c r="J105" i="25"/>
  <c r="K105" i="25" s="1"/>
  <c r="J106" i="25"/>
  <c r="K106" i="25" s="1"/>
  <c r="J107" i="25"/>
  <c r="K107" i="25" s="1"/>
  <c r="J108" i="25"/>
  <c r="K108" i="25" s="1"/>
  <c r="J109" i="25"/>
  <c r="K109" i="25" s="1"/>
  <c r="J110" i="25"/>
  <c r="K110" i="25" s="1"/>
  <c r="J111" i="25"/>
  <c r="K111" i="25" s="1"/>
  <c r="J112" i="25"/>
  <c r="K112" i="25" s="1"/>
  <c r="J113" i="25"/>
  <c r="K113" i="25" s="1"/>
  <c r="J114" i="25"/>
  <c r="K114" i="25" s="1"/>
  <c r="J115" i="25"/>
  <c r="K115" i="25" s="1"/>
  <c r="J116" i="25"/>
  <c r="K116" i="25" s="1"/>
  <c r="J117" i="25"/>
  <c r="K117" i="25" s="1"/>
  <c r="J118" i="25"/>
  <c r="K118" i="25" s="1"/>
  <c r="J119" i="25"/>
  <c r="K119" i="25" s="1"/>
  <c r="J120" i="25"/>
  <c r="K120" i="25" s="1"/>
  <c r="J121" i="25"/>
  <c r="K121" i="25" s="1"/>
  <c r="J122" i="25"/>
  <c r="K122" i="25" s="1"/>
  <c r="J123" i="25"/>
  <c r="K123" i="25" s="1"/>
  <c r="J124" i="25"/>
  <c r="K124" i="25" s="1"/>
  <c r="J125" i="25"/>
  <c r="K125" i="25" s="1"/>
  <c r="J126" i="25"/>
  <c r="K126" i="25" s="1"/>
  <c r="J127" i="25"/>
  <c r="K127" i="25" s="1"/>
  <c r="J128" i="25"/>
  <c r="K128" i="25" s="1"/>
  <c r="J129" i="25"/>
  <c r="K129" i="25" s="1"/>
  <c r="J130" i="25"/>
  <c r="K130" i="25" s="1"/>
  <c r="J131" i="25"/>
  <c r="K131" i="25" s="1"/>
  <c r="J132" i="25"/>
  <c r="K132" i="25" s="1"/>
  <c r="J133" i="25"/>
  <c r="K133" i="25" s="1"/>
  <c r="J134" i="25"/>
  <c r="K134" i="25" s="1"/>
  <c r="J135" i="25"/>
  <c r="K135" i="25" s="1"/>
  <c r="J136" i="25"/>
  <c r="K136" i="25" s="1"/>
  <c r="J137" i="25"/>
  <c r="K137" i="25" s="1"/>
  <c r="J138" i="25"/>
  <c r="K138" i="25" s="1"/>
  <c r="J139" i="25"/>
  <c r="K139" i="25" s="1"/>
  <c r="J140" i="25"/>
  <c r="K140" i="25" s="1"/>
  <c r="J141" i="25"/>
  <c r="K141" i="25" s="1"/>
  <c r="J142" i="25"/>
  <c r="K142" i="25" s="1"/>
  <c r="J143" i="25"/>
  <c r="K143" i="25" s="1"/>
  <c r="J144" i="25"/>
  <c r="K144" i="25" s="1"/>
  <c r="J145" i="25"/>
  <c r="K145" i="25" s="1"/>
  <c r="J146" i="25"/>
  <c r="K146" i="25" s="1"/>
  <c r="J147" i="25"/>
  <c r="K147" i="25" s="1"/>
  <c r="J148" i="25"/>
  <c r="K148" i="25" s="1"/>
  <c r="J149" i="25"/>
  <c r="K149" i="25" s="1"/>
  <c r="J150" i="25"/>
  <c r="K150" i="25" s="1"/>
  <c r="J151" i="25"/>
  <c r="K151" i="25" s="1"/>
  <c r="J152" i="25"/>
  <c r="K152" i="25" s="1"/>
  <c r="J153" i="25"/>
  <c r="K153" i="25" s="1"/>
  <c r="J154" i="25"/>
  <c r="K154" i="25" s="1"/>
  <c r="J155" i="25"/>
  <c r="K155" i="25" s="1"/>
  <c r="J156" i="25"/>
  <c r="K156" i="25" s="1"/>
  <c r="J157" i="25"/>
  <c r="K157" i="25" s="1"/>
  <c r="J158" i="25"/>
  <c r="K158" i="25" s="1"/>
  <c r="J159" i="25"/>
  <c r="K159" i="25" s="1"/>
  <c r="J160" i="25"/>
  <c r="K160" i="25" s="1"/>
  <c r="J161" i="25"/>
  <c r="K161" i="25" s="1"/>
  <c r="J162" i="25"/>
  <c r="K162" i="25" s="1"/>
  <c r="J163" i="25"/>
  <c r="K163" i="25" s="1"/>
  <c r="J164" i="25"/>
  <c r="K164" i="25" s="1"/>
  <c r="J165" i="25"/>
  <c r="K165" i="25" s="1"/>
  <c r="J166" i="25"/>
  <c r="K166" i="25" s="1"/>
  <c r="I115" i="25"/>
  <c r="H115" i="25"/>
  <c r="I114" i="25"/>
  <c r="H114" i="25"/>
  <c r="I113" i="25"/>
  <c r="H113" i="25"/>
  <c r="I112" i="25"/>
  <c r="H112" i="25"/>
  <c r="I111" i="25"/>
  <c r="H111" i="25"/>
  <c r="I110" i="25"/>
  <c r="H110" i="25"/>
  <c r="I109" i="25"/>
  <c r="H109" i="25"/>
  <c r="I108" i="25"/>
  <c r="H108" i="25"/>
  <c r="I107" i="25"/>
  <c r="H107" i="25"/>
  <c r="I106" i="25"/>
  <c r="H106" i="25"/>
  <c r="I105" i="25"/>
  <c r="H105" i="25"/>
  <c r="I104" i="25"/>
  <c r="H104" i="25"/>
  <c r="I103" i="25"/>
  <c r="H103" i="25"/>
  <c r="I102" i="25"/>
  <c r="H102" i="25"/>
  <c r="I101" i="25"/>
  <c r="H101" i="25"/>
  <c r="I100" i="25"/>
  <c r="H100" i="25"/>
  <c r="I99" i="25"/>
  <c r="H99" i="25"/>
  <c r="I98" i="25"/>
  <c r="H98" i="25"/>
  <c r="I97" i="25"/>
  <c r="H97" i="25"/>
  <c r="I96" i="25"/>
  <c r="H96" i="25"/>
  <c r="I95" i="25"/>
  <c r="H95" i="25"/>
  <c r="I94" i="25"/>
  <c r="H94" i="25"/>
  <c r="I93" i="25"/>
  <c r="H93" i="25"/>
  <c r="I92" i="25"/>
  <c r="H92" i="25"/>
  <c r="A92" i="25"/>
  <c r="A95" i="25" s="1"/>
  <c r="A98" i="25" s="1"/>
  <c r="A101" i="25" s="1"/>
  <c r="A104" i="25" s="1"/>
  <c r="A107" i="25" s="1"/>
  <c r="A110" i="25" s="1"/>
  <c r="A113" i="25" s="1"/>
  <c r="A116" i="25" s="1"/>
  <c r="A119" i="25" s="1"/>
  <c r="A122" i="25" s="1"/>
  <c r="A125" i="25" s="1"/>
  <c r="A128" i="25" s="1"/>
  <c r="A131" i="25" s="1"/>
  <c r="A134" i="25" s="1"/>
  <c r="A137" i="25" s="1"/>
  <c r="A140" i="25" s="1"/>
  <c r="A143" i="25" s="1"/>
  <c r="A146" i="25" s="1"/>
  <c r="A149" i="25" s="1"/>
  <c r="A152" i="25" s="1"/>
  <c r="A155" i="25" s="1"/>
  <c r="A158" i="25" s="1"/>
  <c r="A161" i="25" s="1"/>
  <c r="A164" i="25" s="1"/>
  <c r="A93" i="25"/>
  <c r="A96" i="25" s="1"/>
  <c r="A99" i="25" s="1"/>
  <c r="A102" i="25" s="1"/>
  <c r="A105" i="25" s="1"/>
  <c r="A108" i="25" s="1"/>
  <c r="A111" i="25" s="1"/>
  <c r="A114" i="25" s="1"/>
  <c r="A117" i="25" s="1"/>
  <c r="A120" i="25" s="1"/>
  <c r="A123" i="25" s="1"/>
  <c r="A126" i="25" s="1"/>
  <c r="A129" i="25" s="1"/>
  <c r="A132" i="25" s="1"/>
  <c r="A135" i="25" s="1"/>
  <c r="A138" i="25" s="1"/>
  <c r="A141" i="25" s="1"/>
  <c r="A144" i="25" s="1"/>
  <c r="A147" i="25" s="1"/>
  <c r="A150" i="25" s="1"/>
  <c r="A153" i="25" s="1"/>
  <c r="A156" i="25" s="1"/>
  <c r="A159" i="25" s="1"/>
  <c r="A162" i="25" s="1"/>
  <c r="A165" i="25" s="1"/>
  <c r="A94" i="25"/>
  <c r="A97" i="25" s="1"/>
  <c r="A100" i="25" s="1"/>
  <c r="A103" i="25" s="1"/>
  <c r="A106" i="25" s="1"/>
  <c r="A109" i="25" s="1"/>
  <c r="A112" i="25" s="1"/>
  <c r="A115" i="25" s="1"/>
  <c r="A118" i="25" s="1"/>
  <c r="A121" i="25" s="1"/>
  <c r="A124" i="25" s="1"/>
  <c r="A127" i="25" s="1"/>
  <c r="A130" i="25" s="1"/>
  <c r="A133" i="25" s="1"/>
  <c r="A136" i="25" s="1"/>
  <c r="A139" i="25" s="1"/>
  <c r="A142" i="25" s="1"/>
  <c r="A145" i="25" s="1"/>
  <c r="A148" i="25" s="1"/>
  <c r="A151" i="25" s="1"/>
  <c r="A154" i="25" s="1"/>
  <c r="A157" i="25" s="1"/>
  <c r="A160" i="25" s="1"/>
  <c r="A163" i="25" s="1"/>
  <c r="A166" i="25" s="1"/>
  <c r="A11" i="25"/>
  <c r="H28" i="34"/>
  <c r="G3" i="34"/>
  <c r="C4" i="34" s="1"/>
  <c r="D6" i="34" s="1"/>
  <c r="H28" i="40"/>
  <c r="H28" i="39"/>
  <c r="H28" i="37"/>
  <c r="H28" i="36"/>
  <c r="C1" i="1"/>
  <c r="F4" i="25"/>
  <c r="A14" i="25" l="1"/>
  <c r="A13" i="25"/>
  <c r="A12" i="25"/>
  <c r="C1" i="3"/>
  <c r="C1" i="30"/>
  <c r="G4" i="34"/>
  <c r="H28" i="35"/>
  <c r="H28" i="29"/>
  <c r="A17" i="25" l="1"/>
  <c r="A15" i="25"/>
  <c r="A16" i="25"/>
  <c r="H28" i="33"/>
  <c r="A20" i="25" l="1"/>
  <c r="A18" i="25"/>
  <c r="A19" i="25"/>
  <c r="C1" i="4"/>
  <c r="C1" i="5"/>
  <c r="H28" i="31"/>
  <c r="A23" i="25" l="1"/>
  <c r="A21" i="25"/>
  <c r="A22" i="25"/>
  <c r="H28" i="24"/>
  <c r="H28" i="23"/>
  <c r="A26" i="25" l="1"/>
  <c r="A25" i="25"/>
  <c r="A24" i="25"/>
  <c r="H28" i="21"/>
  <c r="A29" i="25" l="1"/>
  <c r="A27" i="25"/>
  <c r="A28" i="25"/>
  <c r="H27" i="16"/>
  <c r="A32" i="25" l="1"/>
  <c r="A30" i="25"/>
  <c r="A31" i="25"/>
  <c r="H28" i="19"/>
  <c r="H28" i="18"/>
  <c r="A35" i="25" l="1"/>
  <c r="A33" i="25"/>
  <c r="A34" i="25"/>
  <c r="H28" i="15"/>
  <c r="A38" i="25" l="1"/>
  <c r="A37" i="25"/>
  <c r="A36" i="25"/>
  <c r="H28" i="12"/>
  <c r="A41" i="25" l="1"/>
  <c r="A39" i="25"/>
  <c r="A40" i="25"/>
  <c r="H27" i="11"/>
  <c r="A44" i="25" l="1"/>
  <c r="A42" i="25"/>
  <c r="A43" i="25"/>
  <c r="H28" i="8"/>
  <c r="A47" i="25" l="1"/>
  <c r="A45" i="25"/>
  <c r="A46" i="25"/>
  <c r="F156" i="2"/>
  <c r="A50" i="25" l="1"/>
  <c r="A48" i="25"/>
  <c r="A49" i="25"/>
  <c r="H28" i="20"/>
  <c r="H29" i="14"/>
  <c r="H28" i="9"/>
  <c r="H28" i="10"/>
  <c r="H28" i="7"/>
  <c r="A53" i="25" l="1"/>
  <c r="A51" i="25"/>
  <c r="A52" i="25"/>
  <c r="F155" i="2"/>
  <c r="A56" i="25" l="1"/>
  <c r="A55" i="25"/>
  <c r="A54" i="25"/>
  <c r="F154" i="2"/>
  <c r="A59" i="25" l="1"/>
  <c r="A57" i="25"/>
  <c r="A58" i="25"/>
  <c r="F7" i="2"/>
  <c r="F8" i="2"/>
  <c r="F9" i="2"/>
  <c r="F10" i="2"/>
  <c r="F12" i="2"/>
  <c r="F13" i="2"/>
  <c r="F14" i="2"/>
  <c r="F15" i="2"/>
  <c r="F16" i="2"/>
  <c r="F27" i="2"/>
  <c r="F30" i="2"/>
  <c r="F31" i="2"/>
  <c r="F32" i="2"/>
  <c r="F35" i="2"/>
  <c r="F37" i="2"/>
  <c r="F39" i="2"/>
  <c r="F41" i="2"/>
  <c r="F42" i="2"/>
  <c r="F43" i="2"/>
  <c r="F44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77" i="2"/>
  <c r="F79" i="2"/>
  <c r="F80" i="2"/>
  <c r="F81" i="2"/>
  <c r="F82" i="2"/>
  <c r="F83" i="2"/>
  <c r="F84" i="2"/>
  <c r="F85" i="2"/>
  <c r="F87" i="2"/>
  <c r="F88" i="2"/>
  <c r="F89" i="2"/>
  <c r="F91" i="2"/>
  <c r="F93" i="2"/>
  <c r="F94" i="2"/>
  <c r="F95" i="2"/>
  <c r="F96" i="2"/>
  <c r="F97" i="2"/>
  <c r="F98" i="2"/>
  <c r="F99" i="2"/>
  <c r="F100" i="2"/>
  <c r="F101" i="2"/>
  <c r="F103" i="2"/>
  <c r="F104" i="2"/>
  <c r="F107" i="2"/>
  <c r="F108" i="2"/>
  <c r="F109" i="2"/>
  <c r="F114" i="2"/>
  <c r="F116" i="2"/>
  <c r="F117" i="2"/>
  <c r="F120" i="2"/>
  <c r="F121" i="2"/>
  <c r="F122" i="2"/>
  <c r="F123" i="2"/>
  <c r="F124" i="2"/>
  <c r="F125" i="2"/>
  <c r="F126" i="2"/>
  <c r="F127" i="2"/>
  <c r="F128" i="2"/>
  <c r="F130" i="2"/>
  <c r="F131" i="2"/>
  <c r="F133" i="2"/>
  <c r="F135" i="2"/>
  <c r="F136" i="2"/>
  <c r="F137" i="2"/>
  <c r="F138" i="2"/>
  <c r="F140" i="2"/>
  <c r="F141" i="2"/>
  <c r="F142" i="2"/>
  <c r="F144" i="2"/>
  <c r="F145" i="2"/>
  <c r="F146" i="2"/>
  <c r="F147" i="2"/>
  <c r="F148" i="2"/>
  <c r="F149" i="2"/>
  <c r="F151" i="2"/>
  <c r="F152" i="2"/>
  <c r="F153" i="2"/>
  <c r="A6" i="2"/>
  <c r="A62" i="25" l="1"/>
  <c r="A61" i="25"/>
  <c r="A60" i="25"/>
  <c r="B9" i="1"/>
  <c r="D9" i="1"/>
  <c r="A7" i="2"/>
  <c r="A65" i="25" l="1"/>
  <c r="A63" i="25"/>
  <c r="A64" i="25"/>
  <c r="D11" i="36"/>
  <c r="B11" i="36"/>
  <c r="A8" i="2"/>
  <c r="D12" i="19"/>
  <c r="B12" i="19"/>
  <c r="B15" i="14"/>
  <c r="B9" i="6"/>
  <c r="F9" i="30" l="1"/>
  <c r="A68" i="25"/>
  <c r="A66" i="25"/>
  <c r="A67" i="25"/>
  <c r="A9" i="2"/>
  <c r="F12" i="19"/>
  <c r="H12" i="19" s="1"/>
  <c r="A71" i="25" l="1"/>
  <c r="A69" i="25"/>
  <c r="A70" i="25"/>
  <c r="A10" i="2"/>
  <c r="B20" i="29"/>
  <c r="D9" i="30"/>
  <c r="D20" i="29"/>
  <c r="F20" i="29"/>
  <c r="H20" i="29" s="1"/>
  <c r="B18" i="35"/>
  <c r="D9" i="21"/>
  <c r="B9" i="30"/>
  <c r="D20" i="8"/>
  <c r="H10" i="1"/>
  <c r="D9" i="5"/>
  <c r="F18" i="24"/>
  <c r="H18" i="24" s="1"/>
  <c r="F11" i="22"/>
  <c r="H11" i="22" s="1"/>
  <c r="D18" i="24"/>
  <c r="D18" i="35"/>
  <c r="F18" i="23"/>
  <c r="H18" i="23" s="1"/>
  <c r="B9" i="21"/>
  <c r="D11" i="22"/>
  <c r="B18" i="20"/>
  <c r="F9" i="4"/>
  <c r="H9" i="4" s="1"/>
  <c r="F18" i="20"/>
  <c r="H18" i="20" s="1"/>
  <c r="B11" i="22"/>
  <c r="B10" i="1"/>
  <c r="D9" i="4"/>
  <c r="B18" i="24"/>
  <c r="F9" i="21"/>
  <c r="H9" i="21" s="1"/>
  <c r="B9" i="5"/>
  <c r="F9" i="14"/>
  <c r="H9" i="14" s="1"/>
  <c r="H9" i="30"/>
  <c r="D18" i="23"/>
  <c r="B9" i="14"/>
  <c r="D18" i="20"/>
  <c r="B9" i="4"/>
  <c r="D17" i="19"/>
  <c r="F17" i="19"/>
  <c r="H17" i="19" s="1"/>
  <c r="F20" i="8"/>
  <c r="H20" i="8" s="1"/>
  <c r="F9" i="5"/>
  <c r="H9" i="5" s="1"/>
  <c r="B20" i="8"/>
  <c r="B18" i="23"/>
  <c r="B17" i="19"/>
  <c r="D9" i="14"/>
  <c r="F18" i="35"/>
  <c r="H18" i="35" s="1"/>
  <c r="A74" i="25" l="1"/>
  <c r="A73" i="25"/>
  <c r="A72" i="25"/>
  <c r="A11" i="2"/>
  <c r="F18" i="46"/>
  <c r="H18" i="46" s="1"/>
  <c r="D18" i="46"/>
  <c r="B18" i="46"/>
  <c r="F18" i="32"/>
  <c r="H18" i="32" s="1"/>
  <c r="B18" i="32"/>
  <c r="D18" i="32"/>
  <c r="A77" i="25" l="1"/>
  <c r="A75" i="25"/>
  <c r="A76" i="25"/>
  <c r="A12" i="2"/>
  <c r="B18" i="19"/>
  <c r="B16" i="12"/>
  <c r="D16" i="12"/>
  <c r="F16" i="12"/>
  <c r="H16" i="12" s="1"/>
  <c r="D18" i="19"/>
  <c r="F18" i="19"/>
  <c r="H18" i="19" s="1"/>
  <c r="A80" i="25" l="1"/>
  <c r="A78" i="25"/>
  <c r="A79" i="25"/>
  <c r="A13" i="2"/>
  <c r="F10" i="52"/>
  <c r="H10" i="52" s="1"/>
  <c r="B10" i="52"/>
  <c r="D10" i="52"/>
  <c r="F5" i="2"/>
  <c r="F9" i="1" s="1"/>
  <c r="F11" i="36" l="1"/>
  <c r="H11" i="36" s="1"/>
  <c r="F15" i="14"/>
  <c r="H15" i="14" s="1"/>
  <c r="F9" i="6"/>
  <c r="H9" i="6" s="1"/>
  <c r="A83" i="25"/>
  <c r="A81" i="25"/>
  <c r="A82" i="25"/>
  <c r="A14" i="2"/>
  <c r="B9" i="16"/>
  <c r="D9" i="16"/>
  <c r="F9" i="16"/>
  <c r="H9" i="16" s="1"/>
  <c r="D18" i="22"/>
  <c r="F18" i="22"/>
  <c r="H18" i="22" s="1"/>
  <c r="D19" i="19"/>
  <c r="B18" i="22"/>
  <c r="F19" i="19"/>
  <c r="H19" i="19" s="1"/>
  <c r="B19" i="19"/>
  <c r="A86" i="25" l="1"/>
  <c r="A84" i="25"/>
  <c r="A85" i="25"/>
  <c r="A15" i="2"/>
  <c r="A87" i="25" l="1"/>
  <c r="A88" i="25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l="1"/>
  <c r="A33" i="2" l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l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H9" i="1"/>
  <c r="B24" i="30" l="1"/>
  <c r="F8" i="30"/>
  <c r="H8" i="30" s="1"/>
  <c r="F20" i="30"/>
  <c r="H20" i="30" s="1"/>
  <c r="F11" i="30"/>
  <c r="H11" i="30" s="1"/>
  <c r="F17" i="30"/>
  <c r="F10" i="30"/>
  <c r="B25" i="30"/>
  <c r="B26" i="30"/>
  <c r="D8" i="30"/>
  <c r="F8" i="7"/>
  <c r="H8" i="7" s="1"/>
  <c r="F15" i="30"/>
  <c r="F26" i="30"/>
  <c r="H26" i="30" s="1"/>
  <c r="F14" i="30"/>
  <c r="F27" i="30"/>
  <c r="B8" i="41"/>
  <c r="B9" i="3"/>
  <c r="F24" i="30"/>
  <c r="D8" i="47"/>
  <c r="B8" i="16"/>
  <c r="F8" i="8"/>
  <c r="H8" i="8" s="1"/>
  <c r="B8" i="33"/>
  <c r="F22" i="30"/>
  <c r="B16" i="30"/>
  <c r="F23" i="30"/>
  <c r="H23" i="30" s="1"/>
  <c r="B17" i="30"/>
  <c r="F12" i="30"/>
  <c r="B14" i="30"/>
  <c r="B20" i="30"/>
  <c r="B15" i="30"/>
  <c r="B23" i="30"/>
  <c r="F25" i="30"/>
  <c r="B8" i="29"/>
  <c r="D8" i="7"/>
  <c r="F8" i="17"/>
  <c r="H8" i="17" s="1"/>
  <c r="F13" i="30"/>
  <c r="B8" i="3"/>
  <c r="D8" i="21"/>
  <c r="D9" i="3"/>
  <c r="F8" i="19"/>
  <c r="H8" i="19" s="1"/>
  <c r="B8" i="19"/>
  <c r="F8" i="29"/>
  <c r="H8" i="29" s="1"/>
  <c r="D8" i="6"/>
  <c r="D8" i="41"/>
  <c r="D8" i="9"/>
  <c r="F21" i="30"/>
  <c r="B8" i="47"/>
  <c r="B8" i="11"/>
  <c r="D8" i="43"/>
  <c r="D8" i="14"/>
  <c r="F19" i="30"/>
  <c r="B8" i="5"/>
  <c r="F16" i="30"/>
  <c r="H16" i="30" s="1"/>
  <c r="F8" i="9"/>
  <c r="H8" i="9" s="1"/>
  <c r="D8" i="19"/>
  <c r="B19" i="30"/>
  <c r="F18" i="30"/>
  <c r="H18" i="30" s="1"/>
  <c r="F8" i="12"/>
  <c r="H8" i="12" s="1"/>
  <c r="B22" i="30"/>
  <c r="F8" i="18"/>
  <c r="H8" i="18" s="1"/>
  <c r="B8" i="15"/>
  <c r="D8" i="3"/>
  <c r="B21" i="30"/>
  <c r="D8" i="31"/>
  <c r="D8" i="33"/>
  <c r="D8" i="18"/>
  <c r="B18" i="30"/>
  <c r="D8" i="42"/>
  <c r="B27" i="30"/>
  <c r="B8" i="30"/>
  <c r="F8" i="3"/>
  <c r="H8" i="3" s="1"/>
  <c r="F8" i="33"/>
  <c r="H8" i="33" s="1"/>
  <c r="D8" i="11"/>
  <c r="B8" i="6"/>
  <c r="B8" i="9"/>
  <c r="B8" i="43"/>
  <c r="B8" i="4"/>
  <c r="F8" i="6"/>
  <c r="H8" i="6" s="1"/>
  <c r="F8" i="42"/>
  <c r="H8" i="42" s="1"/>
  <c r="D8" i="16"/>
  <c r="F8" i="47"/>
  <c r="H8" i="47" s="1"/>
  <c r="B8" i="31"/>
  <c r="D8" i="4"/>
  <c r="D8" i="12"/>
  <c r="F8" i="10"/>
  <c r="H8" i="10" s="1"/>
  <c r="B8" i="14"/>
  <c r="D8" i="17"/>
  <c r="F8" i="14"/>
  <c r="H8" i="14" s="1"/>
  <c r="B8" i="8"/>
  <c r="F8" i="31"/>
  <c r="H8" i="31" s="1"/>
  <c r="F8" i="43"/>
  <c r="H8" i="43" s="1"/>
  <c r="B8" i="18"/>
  <c r="B8" i="10"/>
  <c r="D8" i="8"/>
  <c r="B8" i="21"/>
  <c r="B8" i="7"/>
  <c r="F8" i="4"/>
  <c r="H8" i="4" s="1"/>
  <c r="D8" i="29"/>
  <c r="B8" i="17"/>
  <c r="B8" i="42"/>
  <c r="B8" i="44"/>
  <c r="F8" i="16"/>
  <c r="H8" i="16" s="1"/>
  <c r="F8" i="5"/>
  <c r="H8" i="5" s="1"/>
  <c r="F8" i="15"/>
  <c r="H8" i="15" s="1"/>
  <c r="F8" i="21"/>
  <c r="H8" i="21" s="1"/>
  <c r="B8" i="12"/>
  <c r="D8" i="10"/>
  <c r="F8" i="41"/>
  <c r="H8" i="41" s="1"/>
  <c r="F8" i="11"/>
  <c r="H8" i="11" s="1"/>
  <c r="F8" i="44"/>
  <c r="H8" i="44" s="1"/>
  <c r="D8" i="15"/>
  <c r="D8" i="5"/>
  <c r="D8" i="44"/>
  <c r="F9" i="3"/>
  <c r="H9" i="3" s="1"/>
  <c r="F23" i="39"/>
  <c r="H23" i="39" s="1"/>
  <c r="D19" i="44"/>
  <c r="B8" i="52"/>
  <c r="B16" i="37"/>
  <c r="B24" i="47"/>
  <c r="F11" i="32"/>
  <c r="H11" i="32" s="1"/>
  <c r="D24" i="47"/>
  <c r="D19" i="42"/>
  <c r="B23" i="43"/>
  <c r="D26" i="41"/>
  <c r="D22" i="40"/>
  <c r="B12" i="48"/>
  <c r="B9" i="42"/>
  <c r="D23" i="44"/>
  <c r="F10" i="41"/>
  <c r="H10" i="41" s="1"/>
  <c r="D8" i="52"/>
  <c r="D24" i="48"/>
  <c r="D18" i="34"/>
  <c r="B12" i="44"/>
  <c r="F26" i="37"/>
  <c r="H26" i="37" s="1"/>
  <c r="F18" i="42"/>
  <c r="H18" i="42" s="1"/>
  <c r="D20" i="41"/>
  <c r="B17" i="48"/>
  <c r="B10" i="34"/>
  <c r="F13" i="52"/>
  <c r="H13" i="52" s="1"/>
  <c r="D21" i="49"/>
  <c r="D20" i="52"/>
  <c r="F12" i="44"/>
  <c r="H12" i="44" s="1"/>
  <c r="D20" i="42"/>
  <c r="F17" i="52"/>
  <c r="H17" i="52" s="1"/>
  <c r="F16" i="44"/>
  <c r="H16" i="44" s="1"/>
  <c r="F12" i="40"/>
  <c r="H12" i="40" s="1"/>
  <c r="B27" i="38"/>
  <c r="B19" i="44"/>
  <c r="D12" i="38"/>
  <c r="B17" i="43"/>
  <c r="B15" i="42"/>
  <c r="F11" i="49"/>
  <c r="H11" i="49" s="1"/>
  <c r="F13" i="46"/>
  <c r="H13" i="46" s="1"/>
  <c r="D11" i="38"/>
  <c r="D15" i="42"/>
  <c r="F25" i="38"/>
  <c r="H25" i="38" s="1"/>
  <c r="D25" i="43"/>
  <c r="D21" i="43"/>
  <c r="D12" i="42"/>
  <c r="D8" i="49"/>
  <c r="F26" i="45"/>
  <c r="H26" i="45" s="1"/>
  <c r="D27" i="44"/>
  <c r="B23" i="44"/>
  <c r="D25" i="42"/>
  <c r="F9" i="42"/>
  <c r="H9" i="42" s="1"/>
  <c r="D21" i="47"/>
  <c r="F25" i="40"/>
  <c r="H25" i="40" s="1"/>
  <c r="B21" i="47"/>
  <c r="B14" i="32"/>
  <c r="B19" i="47"/>
  <c r="D20" i="43"/>
  <c r="B27" i="32"/>
  <c r="F14" i="46"/>
  <c r="H14" i="46" s="1"/>
  <c r="B17" i="36"/>
  <c r="D11" i="32"/>
  <c r="D21" i="39"/>
  <c r="D20" i="37"/>
  <c r="B25" i="44"/>
  <c r="B19" i="43"/>
  <c r="B14" i="48"/>
  <c r="D15" i="43"/>
  <c r="F17" i="36"/>
  <c r="H17" i="36" s="1"/>
  <c r="D26" i="49"/>
  <c r="D14" i="37"/>
  <c r="F12" i="39"/>
  <c r="H12" i="39" s="1"/>
  <c r="D17" i="37"/>
  <c r="F22" i="39"/>
  <c r="H22" i="39" s="1"/>
  <c r="F19" i="52"/>
  <c r="H19" i="52" s="1"/>
  <c r="F14" i="49"/>
  <c r="H14" i="49" s="1"/>
  <c r="F27" i="52"/>
  <c r="H27" i="52" s="1"/>
  <c r="B15" i="41"/>
  <c r="F17" i="34"/>
  <c r="H17" i="34" s="1"/>
  <c r="F16" i="41"/>
  <c r="H16" i="41" s="1"/>
  <c r="B19" i="40"/>
  <c r="F16" i="46"/>
  <c r="H16" i="46" s="1"/>
  <c r="F24" i="48"/>
  <c r="H24" i="48" s="1"/>
  <c r="D18" i="42"/>
  <c r="F22" i="49"/>
  <c r="H22" i="49" s="1"/>
  <c r="B14" i="46"/>
  <c r="B9" i="47"/>
  <c r="B25" i="45"/>
  <c r="D11" i="48"/>
  <c r="F21" i="39"/>
  <c r="H21" i="39" s="1"/>
  <c r="F10" i="45"/>
  <c r="H10" i="45" s="1"/>
  <c r="D27" i="38"/>
  <c r="B15" i="32"/>
  <c r="D26" i="42"/>
  <c r="F20" i="34"/>
  <c r="H20" i="34" s="1"/>
  <c r="F15" i="43"/>
  <c r="H15" i="43" s="1"/>
  <c r="D20" i="32"/>
  <c r="D22" i="48"/>
  <c r="D21" i="34"/>
  <c r="B27" i="52"/>
  <c r="D9" i="34"/>
  <c r="B19" i="42"/>
  <c r="B15" i="37"/>
  <c r="F9" i="45"/>
  <c r="H9" i="45" s="1"/>
  <c r="F12" i="49"/>
  <c r="H12" i="49" s="1"/>
  <c r="D8" i="45"/>
  <c r="B25" i="48"/>
  <c r="F12" i="36"/>
  <c r="H12" i="36" s="1"/>
  <c r="F18" i="48"/>
  <c r="H18" i="48" s="1"/>
  <c r="D27" i="45"/>
  <c r="B14" i="38"/>
  <c r="F23" i="44"/>
  <c r="H23" i="44" s="1"/>
  <c r="F12" i="45"/>
  <c r="H12" i="45" s="1"/>
  <c r="D15" i="45"/>
  <c r="F18" i="36"/>
  <c r="H18" i="36" s="1"/>
  <c r="D18" i="40"/>
  <c r="B27" i="36"/>
  <c r="F14" i="38"/>
  <c r="H14" i="38" s="1"/>
  <c r="B12" i="43"/>
  <c r="B8" i="40"/>
  <c r="D16" i="43"/>
  <c r="B18" i="34"/>
  <c r="B24" i="44"/>
  <c r="B19" i="38"/>
  <c r="D21" i="41"/>
  <c r="B13" i="32"/>
  <c r="B16" i="49"/>
  <c r="D21" i="38"/>
  <c r="B17" i="39"/>
  <c r="B21" i="44"/>
  <c r="B18" i="37"/>
  <c r="F17" i="49"/>
  <c r="H17" i="49" s="1"/>
  <c r="D11" i="44"/>
  <c r="D21" i="42"/>
  <c r="F20" i="38"/>
  <c r="H20" i="38" s="1"/>
  <c r="F9" i="37"/>
  <c r="H9" i="37" s="1"/>
  <c r="D18" i="49"/>
  <c r="F18" i="44"/>
  <c r="H18" i="44" s="1"/>
  <c r="F8" i="48"/>
  <c r="H8" i="48" s="1"/>
  <c r="F19" i="42"/>
  <c r="H19" i="42" s="1"/>
  <c r="B12" i="36"/>
  <c r="D16" i="42"/>
  <c r="D21" i="45"/>
  <c r="F26" i="47"/>
  <c r="H26" i="47" s="1"/>
  <c r="D27" i="32"/>
  <c r="F23" i="36"/>
  <c r="H23" i="36" s="1"/>
  <c r="D23" i="32"/>
  <c r="F15" i="48"/>
  <c r="H15" i="48" s="1"/>
  <c r="B23" i="39"/>
  <c r="D14" i="46"/>
  <c r="F27" i="44"/>
  <c r="H27" i="44" s="1"/>
  <c r="F19" i="47"/>
  <c r="H19" i="47" s="1"/>
  <c r="F15" i="32"/>
  <c r="H15" i="32" s="1"/>
  <c r="D27" i="34"/>
  <c r="B22" i="47"/>
  <c r="F23" i="32"/>
  <c r="H23" i="32" s="1"/>
  <c r="B11" i="47"/>
  <c r="D12" i="43"/>
  <c r="B21" i="32"/>
  <c r="F15" i="41"/>
  <c r="H15" i="41" s="1"/>
  <c r="B8" i="36"/>
  <c r="D12" i="45"/>
  <c r="B21" i="37"/>
  <c r="B22" i="39"/>
  <c r="F20" i="43"/>
  <c r="H20" i="43" s="1"/>
  <c r="F11" i="52"/>
  <c r="H11" i="52" s="1"/>
  <c r="D11" i="34"/>
  <c r="B15" i="47"/>
  <c r="F21" i="32"/>
  <c r="H21" i="32" s="1"/>
  <c r="D22" i="47"/>
  <c r="F10" i="46"/>
  <c r="H10" i="46" s="1"/>
  <c r="F26" i="32"/>
  <c r="H26" i="32" s="1"/>
  <c r="B19" i="32"/>
  <c r="B19" i="37"/>
  <c r="D12" i="39"/>
  <c r="B25" i="46"/>
  <c r="D25" i="34"/>
  <c r="F15" i="46"/>
  <c r="H15" i="46" s="1"/>
  <c r="F23" i="52"/>
  <c r="H23" i="52" s="1"/>
  <c r="B11" i="37"/>
  <c r="D14" i="36"/>
  <c r="D18" i="47"/>
  <c r="B25" i="43"/>
  <c r="B24" i="36"/>
  <c r="D9" i="38"/>
  <c r="D19" i="52"/>
  <c r="F10" i="37"/>
  <c r="H10" i="37" s="1"/>
  <c r="D17" i="44"/>
  <c r="D27" i="46"/>
  <c r="F15" i="45"/>
  <c r="H15" i="45" s="1"/>
  <c r="F13" i="48"/>
  <c r="H13" i="48" s="1"/>
  <c r="F18" i="38"/>
  <c r="H18" i="38" s="1"/>
  <c r="D15" i="41"/>
  <c r="F19" i="43"/>
  <c r="H19" i="43" s="1"/>
  <c r="D14" i="49"/>
  <c r="F12" i="32"/>
  <c r="H12" i="32" s="1"/>
  <c r="B11" i="32"/>
  <c r="B15" i="45"/>
  <c r="F8" i="40"/>
  <c r="H8" i="40" s="1"/>
  <c r="D9" i="42"/>
  <c r="D8" i="48"/>
  <c r="D24" i="41"/>
  <c r="F20" i="40"/>
  <c r="H20" i="40" s="1"/>
  <c r="D27" i="47"/>
  <c r="D20" i="40"/>
  <c r="D10" i="41"/>
  <c r="B20" i="46"/>
  <c r="D20" i="44"/>
  <c r="D18" i="41"/>
  <c r="B13" i="41"/>
  <c r="D27" i="49"/>
  <c r="F16" i="40"/>
  <c r="H16" i="40" s="1"/>
  <c r="D20" i="48"/>
  <c r="B15" i="38"/>
  <c r="F8" i="38"/>
  <c r="H8" i="38" s="1"/>
  <c r="D25" i="46"/>
  <c r="B11" i="46"/>
  <c r="F10" i="43"/>
  <c r="H10" i="43" s="1"/>
  <c r="D15" i="32"/>
  <c r="D13" i="34"/>
  <c r="F22" i="32"/>
  <c r="H22" i="32" s="1"/>
  <c r="B19" i="34"/>
  <c r="B9" i="34"/>
  <c r="B12" i="39"/>
  <c r="F11" i="39"/>
  <c r="H11" i="39" s="1"/>
  <c r="D14" i="41"/>
  <c r="D14" i="45"/>
  <c r="D10" i="48"/>
  <c r="D24" i="38"/>
  <c r="B10" i="43"/>
  <c r="F10" i="44"/>
  <c r="H10" i="44" s="1"/>
  <c r="F16" i="34"/>
  <c r="H16" i="34" s="1"/>
  <c r="F11" i="47"/>
  <c r="H11" i="47" s="1"/>
  <c r="D22" i="49"/>
  <c r="D11" i="49"/>
  <c r="F8" i="37"/>
  <c r="H8" i="37" s="1"/>
  <c r="B27" i="46"/>
  <c r="D25" i="36"/>
  <c r="F10" i="40"/>
  <c r="H10" i="40" s="1"/>
  <c r="F15" i="36"/>
  <c r="H15" i="36" s="1"/>
  <c r="B15" i="52"/>
  <c r="B26" i="42"/>
  <c r="F13" i="32"/>
  <c r="H13" i="32" s="1"/>
  <c r="B14" i="43"/>
  <c r="F12" i="34"/>
  <c r="H12" i="34" s="1"/>
  <c r="B24" i="49"/>
  <c r="D16" i="37"/>
  <c r="D23" i="47"/>
  <c r="F14" i="52"/>
  <c r="H14" i="52" s="1"/>
  <c r="B10" i="42"/>
  <c r="B15" i="34"/>
  <c r="B9" i="45"/>
  <c r="F19" i="34"/>
  <c r="H19" i="34" s="1"/>
  <c r="F25" i="41"/>
  <c r="H25" i="41" s="1"/>
  <c r="D12" i="37"/>
  <c r="F21" i="48"/>
  <c r="H21" i="48" s="1"/>
  <c r="B16" i="38"/>
  <c r="F24" i="46"/>
  <c r="H24" i="46" s="1"/>
  <c r="D22" i="45"/>
  <c r="D10" i="43"/>
  <c r="B16" i="48"/>
  <c r="F26" i="36"/>
  <c r="H26" i="36" s="1"/>
  <c r="D9" i="45"/>
  <c r="D18" i="45"/>
  <c r="F19" i="46"/>
  <c r="H19" i="46" s="1"/>
  <c r="F27" i="39"/>
  <c r="H27" i="39" s="1"/>
  <c r="F22" i="34"/>
  <c r="H22" i="34" s="1"/>
  <c r="F21" i="37"/>
  <c r="H21" i="37" s="1"/>
  <c r="D22" i="34"/>
  <c r="B14" i="42"/>
  <c r="B24" i="34"/>
  <c r="B18" i="49"/>
  <c r="D20" i="47"/>
  <c r="F24" i="43"/>
  <c r="H24" i="43" s="1"/>
  <c r="D9" i="52"/>
  <c r="D25" i="32"/>
  <c r="F11" i="48"/>
  <c r="H11" i="48" s="1"/>
  <c r="F14" i="39"/>
  <c r="H14" i="39" s="1"/>
  <c r="B19" i="39"/>
  <c r="F20" i="48"/>
  <c r="H20" i="48" s="1"/>
  <c r="B26" i="41"/>
  <c r="D17" i="39"/>
  <c r="F26" i="46"/>
  <c r="H26" i="46" s="1"/>
  <c r="D12" i="52"/>
  <c r="D26" i="34"/>
  <c r="B23" i="32"/>
  <c r="B22" i="52"/>
  <c r="B19" i="45"/>
  <c r="B25" i="42"/>
  <c r="B18" i="52"/>
  <c r="D13" i="40"/>
  <c r="B24" i="45"/>
  <c r="D11" i="39"/>
  <c r="F24" i="36"/>
  <c r="H24" i="36" s="1"/>
  <c r="B21" i="43"/>
  <c r="D9" i="43"/>
  <c r="B22" i="49"/>
  <c r="D25" i="48"/>
  <c r="B13" i="52"/>
  <c r="F9" i="47"/>
  <c r="H9" i="47" s="1"/>
  <c r="D16" i="34"/>
  <c r="B17" i="40"/>
  <c r="F24" i="52"/>
  <c r="H24" i="52" s="1"/>
  <c r="F15" i="39"/>
  <c r="H15" i="39" s="1"/>
  <c r="D10" i="38"/>
  <c r="F25" i="45"/>
  <c r="H25" i="45" s="1"/>
  <c r="D25" i="49"/>
  <c r="F24" i="45"/>
  <c r="H24" i="45" s="1"/>
  <c r="B18" i="42"/>
  <c r="D16" i="46"/>
  <c r="D26" i="37"/>
  <c r="F16" i="39"/>
  <c r="H16" i="39" s="1"/>
  <c r="F9" i="39"/>
  <c r="H9" i="39" s="1"/>
  <c r="F24" i="47"/>
  <c r="H24" i="47" s="1"/>
  <c r="F17" i="41"/>
  <c r="H17" i="41" s="1"/>
  <c r="D17" i="38"/>
  <c r="D22" i="36"/>
  <c r="B11" i="48"/>
  <c r="D13" i="42"/>
  <c r="F20" i="46"/>
  <c r="H20" i="46" s="1"/>
  <c r="D20" i="36"/>
  <c r="F24" i="41"/>
  <c r="H24" i="41" s="1"/>
  <c r="D26" i="39"/>
  <c r="F9" i="34"/>
  <c r="H9" i="34" s="1"/>
  <c r="B9" i="41"/>
  <c r="B21" i="48"/>
  <c r="D19" i="40"/>
  <c r="D17" i="45"/>
  <c r="F19" i="40"/>
  <c r="H19" i="40" s="1"/>
  <c r="D10" i="46"/>
  <c r="B22" i="37"/>
  <c r="D11" i="45"/>
  <c r="F22" i="46"/>
  <c r="H22" i="46" s="1"/>
  <c r="B17" i="32"/>
  <c r="D13" i="52"/>
  <c r="B11" i="42"/>
  <c r="F20" i="36"/>
  <c r="H20" i="36" s="1"/>
  <c r="B22" i="41"/>
  <c r="D12" i="49"/>
  <c r="F13" i="40"/>
  <c r="H13" i="40" s="1"/>
  <c r="B12" i="37"/>
  <c r="F16" i="49"/>
  <c r="H16" i="49" s="1"/>
  <c r="F26" i="40"/>
  <c r="H26" i="40" s="1"/>
  <c r="D24" i="52"/>
  <c r="F22" i="48"/>
  <c r="H22" i="48" s="1"/>
  <c r="B22" i="34"/>
  <c r="F17" i="32"/>
  <c r="H17" i="32" s="1"/>
  <c r="D8" i="32"/>
  <c r="B14" i="44"/>
  <c r="B21" i="40"/>
  <c r="D22" i="42"/>
  <c r="D9" i="41"/>
  <c r="B27" i="44"/>
  <c r="B11" i="52"/>
  <c r="F11" i="40"/>
  <c r="H11" i="40" s="1"/>
  <c r="B13" i="49"/>
  <c r="B16" i="46"/>
  <c r="D25" i="44"/>
  <c r="F24" i="44"/>
  <c r="H24" i="44" s="1"/>
  <c r="B23" i="48"/>
  <c r="D15" i="37"/>
  <c r="D22" i="38"/>
  <c r="B14" i="39"/>
  <c r="B16" i="43"/>
  <c r="B25" i="36"/>
  <c r="D8" i="37"/>
  <c r="B8" i="49"/>
  <c r="F24" i="38"/>
  <c r="H24" i="38" s="1"/>
  <c r="B22" i="44"/>
  <c r="F9" i="38"/>
  <c r="H9" i="38" s="1"/>
  <c r="F24" i="40"/>
  <c r="H24" i="40" s="1"/>
  <c r="B12" i="45"/>
  <c r="B17" i="41"/>
  <c r="B8" i="38"/>
  <c r="D10" i="32"/>
  <c r="D10" i="37"/>
  <c r="B12" i="47"/>
  <c r="D22" i="32"/>
  <c r="B20" i="47"/>
  <c r="F26" i="52"/>
  <c r="H26" i="52" s="1"/>
  <c r="D23" i="37"/>
  <c r="B22" i="42"/>
  <c r="B26" i="40"/>
  <c r="D22" i="44"/>
  <c r="F25" i="34"/>
  <c r="H25" i="34" s="1"/>
  <c r="F23" i="40"/>
  <c r="H23" i="40" s="1"/>
  <c r="F17" i="44"/>
  <c r="H17" i="44" s="1"/>
  <c r="D21" i="36"/>
  <c r="D17" i="52"/>
  <c r="D15" i="48"/>
  <c r="B24" i="52"/>
  <c r="D18" i="52"/>
  <c r="B25" i="52"/>
  <c r="D27" i="48"/>
  <c r="F23" i="41"/>
  <c r="H23" i="41" s="1"/>
  <c r="B24" i="46"/>
  <c r="D15" i="52"/>
  <c r="B20" i="45"/>
  <c r="F18" i="47"/>
  <c r="H18" i="47" s="1"/>
  <c r="D27" i="42"/>
  <c r="D17" i="36"/>
  <c r="F15" i="42"/>
  <c r="H15" i="42" s="1"/>
  <c r="F8" i="49"/>
  <c r="H8" i="49" s="1"/>
  <c r="B14" i="41"/>
  <c r="D11" i="40"/>
  <c r="B17" i="47"/>
  <c r="F15" i="44"/>
  <c r="H15" i="44" s="1"/>
  <c r="B12" i="41"/>
  <c r="F26" i="49"/>
  <c r="H26" i="49" s="1"/>
  <c r="F17" i="38"/>
  <c r="H17" i="38" s="1"/>
  <c r="D22" i="43"/>
  <c r="F25" i="42"/>
  <c r="H25" i="42" s="1"/>
  <c r="D18" i="43"/>
  <c r="F12" i="38"/>
  <c r="H12" i="38" s="1"/>
  <c r="B25" i="34"/>
  <c r="D20" i="49"/>
  <c r="D8" i="34"/>
  <c r="D26" i="44"/>
  <c r="D9" i="39"/>
  <c r="B11" i="39"/>
  <c r="F14" i="44"/>
  <c r="H14" i="44" s="1"/>
  <c r="D14" i="48"/>
  <c r="B19" i="36"/>
  <c r="B17" i="46"/>
  <c r="D21" i="46"/>
  <c r="F14" i="37"/>
  <c r="H14" i="37" s="1"/>
  <c r="B18" i="39"/>
  <c r="B27" i="49"/>
  <c r="B15" i="44"/>
  <c r="F13" i="45"/>
  <c r="H13" i="45" s="1"/>
  <c r="B22" i="48"/>
  <c r="B13" i="42"/>
  <c r="D12" i="32"/>
  <c r="F17" i="47"/>
  <c r="H17" i="47" s="1"/>
  <c r="B26" i="34"/>
  <c r="B19" i="52"/>
  <c r="D13" i="48"/>
  <c r="B26" i="49"/>
  <c r="F19" i="41"/>
  <c r="H19" i="41" s="1"/>
  <c r="F14" i="47"/>
  <c r="H14" i="47" s="1"/>
  <c r="F13" i="43"/>
  <c r="H13" i="43" s="1"/>
  <c r="D14" i="39"/>
  <c r="F13" i="42"/>
  <c r="H13" i="42" s="1"/>
  <c r="F18" i="52"/>
  <c r="H18" i="52" s="1"/>
  <c r="B26" i="44"/>
  <c r="B26" i="45"/>
  <c r="F25" i="47"/>
  <c r="H25" i="47" s="1"/>
  <c r="B8" i="39"/>
  <c r="D17" i="48"/>
  <c r="F27" i="42"/>
  <c r="H27" i="42" s="1"/>
  <c r="B17" i="38"/>
  <c r="D18" i="44"/>
  <c r="D17" i="34"/>
  <c r="B13" i="48"/>
  <c r="D24" i="34"/>
  <c r="B25" i="38"/>
  <c r="B21" i="41"/>
  <c r="F22" i="42"/>
  <c r="H22" i="42" s="1"/>
  <c r="F21" i="46"/>
  <c r="H21" i="46" s="1"/>
  <c r="B25" i="47"/>
  <c r="D21" i="40"/>
  <c r="D9" i="48"/>
  <c r="F15" i="40"/>
  <c r="H15" i="40" s="1"/>
  <c r="D9" i="47"/>
  <c r="B14" i="37"/>
  <c r="F13" i="37"/>
  <c r="H13" i="37" s="1"/>
  <c r="F25" i="49"/>
  <c r="H25" i="49" s="1"/>
  <c r="D10" i="45"/>
  <c r="B27" i="48"/>
  <c r="D16" i="45"/>
  <c r="F13" i="44"/>
  <c r="H13" i="44" s="1"/>
  <c r="D10" i="42"/>
  <c r="F8" i="34"/>
  <c r="H8" i="34" s="1"/>
  <c r="B14" i="36"/>
  <c r="B13" i="34"/>
  <c r="D24" i="44"/>
  <c r="B22" i="38"/>
  <c r="F8" i="45"/>
  <c r="H8" i="45" s="1"/>
  <c r="D23" i="45"/>
  <c r="F19" i="44"/>
  <c r="H19" i="44" s="1"/>
  <c r="B9" i="52"/>
  <c r="D13" i="39"/>
  <c r="F8" i="32"/>
  <c r="H8" i="32" s="1"/>
  <c r="B15" i="46"/>
  <c r="F10" i="49"/>
  <c r="H10" i="49" s="1"/>
  <c r="B17" i="45"/>
  <c r="B10" i="48"/>
  <c r="B12" i="38"/>
  <c r="D12" i="48"/>
  <c r="B15" i="39"/>
  <c r="D9" i="46"/>
  <c r="F18" i="41"/>
  <c r="H18" i="41" s="1"/>
  <c r="B24" i="48"/>
  <c r="B16" i="41"/>
  <c r="B8" i="37"/>
  <c r="F23" i="49"/>
  <c r="H23" i="49" s="1"/>
  <c r="F13" i="49"/>
  <c r="H13" i="49" s="1"/>
  <c r="B19" i="48"/>
  <c r="D9" i="37"/>
  <c r="D21" i="32"/>
  <c r="D13" i="49"/>
  <c r="D12" i="34"/>
  <c r="F27" i="41"/>
  <c r="H27" i="41" s="1"/>
  <c r="B27" i="37"/>
  <c r="F9" i="43"/>
  <c r="H9" i="43" s="1"/>
  <c r="B10" i="39"/>
  <c r="B20" i="36"/>
  <c r="D14" i="42"/>
  <c r="B10" i="32"/>
  <c r="B23" i="46"/>
  <c r="B23" i="42"/>
  <c r="D15" i="39"/>
  <c r="D22" i="41"/>
  <c r="D24" i="32"/>
  <c r="B26" i="43"/>
  <c r="F20" i="42"/>
  <c r="H20" i="42" s="1"/>
  <c r="D11" i="47"/>
  <c r="F12" i="46"/>
  <c r="H12" i="46" s="1"/>
  <c r="D23" i="39"/>
  <c r="D13" i="37"/>
  <c r="D12" i="41"/>
  <c r="B20" i="40"/>
  <c r="D10" i="36"/>
  <c r="F16" i="38"/>
  <c r="H16" i="38" s="1"/>
  <c r="B8" i="48"/>
  <c r="D21" i="48"/>
  <c r="B9" i="44"/>
  <c r="D26" i="47"/>
  <c r="F17" i="43"/>
  <c r="H17" i="43" s="1"/>
  <c r="D24" i="39"/>
  <c r="F16" i="32"/>
  <c r="H16" i="32" s="1"/>
  <c r="F9" i="52"/>
  <c r="H9" i="52" s="1"/>
  <c r="B24" i="43"/>
  <c r="F13" i="41"/>
  <c r="H13" i="41" s="1"/>
  <c r="B21" i="46"/>
  <c r="D13" i="38"/>
  <c r="B10" i="36"/>
  <c r="D24" i="42"/>
  <c r="B20" i="38"/>
  <c r="F26" i="38"/>
  <c r="H26" i="38" s="1"/>
  <c r="B23" i="41"/>
  <c r="B23" i="34"/>
  <c r="B24" i="42"/>
  <c r="B12" i="42"/>
  <c r="B20" i="48"/>
  <c r="B20" i="41"/>
  <c r="D24" i="43"/>
  <c r="F12" i="48"/>
  <c r="H12" i="48" s="1"/>
  <c r="B12" i="34"/>
  <c r="D24" i="46"/>
  <c r="F15" i="47"/>
  <c r="H15" i="47" s="1"/>
  <c r="F17" i="39"/>
  <c r="H17" i="39" s="1"/>
  <c r="B20" i="34"/>
  <c r="F14" i="41"/>
  <c r="H14" i="41" s="1"/>
  <c r="F21" i="45"/>
  <c r="H21" i="45" s="1"/>
  <c r="D23" i="49"/>
  <c r="D16" i="41"/>
  <c r="D21" i="52"/>
  <c r="D26" i="48"/>
  <c r="B13" i="38"/>
  <c r="F12" i="43"/>
  <c r="H12" i="43" s="1"/>
  <c r="D23" i="38"/>
  <c r="F17" i="37"/>
  <c r="H17" i="37" s="1"/>
  <c r="D8" i="36"/>
  <c r="D15" i="34"/>
  <c r="B9" i="36"/>
  <c r="F22" i="52"/>
  <c r="H22" i="52" s="1"/>
  <c r="D26" i="52"/>
  <c r="F17" i="42"/>
  <c r="H17" i="42" s="1"/>
  <c r="F11" i="44"/>
  <c r="H11" i="44" s="1"/>
  <c r="F18" i="45"/>
  <c r="H18" i="45" s="1"/>
  <c r="B24" i="32"/>
  <c r="F22" i="43"/>
  <c r="H22" i="43" s="1"/>
  <c r="D26" i="38"/>
  <c r="F27" i="38"/>
  <c r="H27" i="38" s="1"/>
  <c r="D18" i="38"/>
  <c r="F12" i="41"/>
  <c r="H12" i="41" s="1"/>
  <c r="D14" i="43"/>
  <c r="B24" i="40"/>
  <c r="F24" i="42"/>
  <c r="H24" i="42" s="1"/>
  <c r="F21" i="42"/>
  <c r="H21" i="42" s="1"/>
  <c r="F22" i="47"/>
  <c r="H22" i="47" s="1"/>
  <c r="D16" i="49"/>
  <c r="B24" i="41"/>
  <c r="D16" i="40"/>
  <c r="D20" i="38"/>
  <c r="D22" i="46"/>
  <c r="B15" i="48"/>
  <c r="D26" i="46"/>
  <c r="D15" i="46"/>
  <c r="F21" i="47"/>
  <c r="H21" i="47" s="1"/>
  <c r="F19" i="48"/>
  <c r="H19" i="48" s="1"/>
  <c r="B13" i="45"/>
  <c r="F25" i="44"/>
  <c r="H25" i="44" s="1"/>
  <c r="F22" i="44"/>
  <c r="H22" i="44" s="1"/>
  <c r="F19" i="49"/>
  <c r="H19" i="49" s="1"/>
  <c r="D23" i="40"/>
  <c r="D16" i="38"/>
  <c r="B13" i="39"/>
  <c r="F17" i="45"/>
  <c r="H17" i="45" s="1"/>
  <c r="B11" i="40"/>
  <c r="B9" i="37"/>
  <c r="D19" i="49"/>
  <c r="D19" i="47"/>
  <c r="F15" i="49"/>
  <c r="H15" i="49" s="1"/>
  <c r="F8" i="46"/>
  <c r="H8" i="46" s="1"/>
  <c r="D11" i="37"/>
  <c r="B14" i="47"/>
  <c r="D16" i="32"/>
  <c r="B11" i="49"/>
  <c r="D19" i="39"/>
  <c r="F23" i="37"/>
  <c r="H23" i="37" s="1"/>
  <c r="F11" i="38"/>
  <c r="H11" i="38" s="1"/>
  <c r="B22" i="43"/>
  <c r="B10" i="49"/>
  <c r="D19" i="43"/>
  <c r="B21" i="42"/>
  <c r="B13" i="44"/>
  <c r="D22" i="39"/>
  <c r="F18" i="34"/>
  <c r="H18" i="34" s="1"/>
  <c r="F24" i="34"/>
  <c r="H24" i="34" s="1"/>
  <c r="B27" i="34"/>
  <c r="B18" i="47"/>
  <c r="B11" i="44"/>
  <c r="D13" i="32"/>
  <c r="B15" i="43"/>
  <c r="D17" i="49"/>
  <c r="D21" i="37"/>
  <c r="D11" i="46"/>
  <c r="B23" i="47"/>
  <c r="D25" i="52"/>
  <c r="B26" i="36"/>
  <c r="B26" i="48"/>
  <c r="B16" i="45"/>
  <c r="F20" i="39"/>
  <c r="H20" i="39" s="1"/>
  <c r="F18" i="43"/>
  <c r="H18" i="43" s="1"/>
  <c r="B12" i="52"/>
  <c r="B24" i="39"/>
  <c r="B27" i="47"/>
  <c r="F23" i="46"/>
  <c r="H23" i="46" s="1"/>
  <c r="F25" i="48"/>
  <c r="H25" i="48" s="1"/>
  <c r="B23" i="36"/>
  <c r="F24" i="37"/>
  <c r="H24" i="37" s="1"/>
  <c r="B25" i="41"/>
  <c r="F18" i="49"/>
  <c r="H18" i="49" s="1"/>
  <c r="D16" i="39"/>
  <c r="F23" i="48"/>
  <c r="H23" i="48" s="1"/>
  <c r="F11" i="46"/>
  <c r="H11" i="46" s="1"/>
  <c r="F9" i="49"/>
  <c r="H9" i="49" s="1"/>
  <c r="F23" i="45"/>
  <c r="H23" i="45" s="1"/>
  <c r="D17" i="47"/>
  <c r="B23" i="45"/>
  <c r="B20" i="44"/>
  <c r="F12" i="52"/>
  <c r="H12" i="52" s="1"/>
  <c r="D18" i="36"/>
  <c r="B8" i="32"/>
  <c r="F13" i="38"/>
  <c r="H13" i="38" s="1"/>
  <c r="F17" i="48"/>
  <c r="H17" i="48" s="1"/>
  <c r="D11" i="43"/>
  <c r="F20" i="32"/>
  <c r="H20" i="32" s="1"/>
  <c r="D27" i="52"/>
  <c r="B18" i="36"/>
  <c r="F14" i="48"/>
  <c r="H14" i="48" s="1"/>
  <c r="F9" i="46"/>
  <c r="H9" i="46" s="1"/>
  <c r="B11" i="45"/>
  <c r="F20" i="45"/>
  <c r="H20" i="45" s="1"/>
  <c r="B26" i="47"/>
  <c r="F12" i="37"/>
  <c r="H12" i="37" s="1"/>
  <c r="D19" i="38"/>
  <c r="B16" i="34"/>
  <c r="F10" i="38"/>
  <c r="H10" i="38" s="1"/>
  <c r="D20" i="34"/>
  <c r="F17" i="46"/>
  <c r="H17" i="46" s="1"/>
  <c r="F22" i="41"/>
  <c r="H22" i="41" s="1"/>
  <c r="B14" i="52"/>
  <c r="D13" i="36"/>
  <c r="F16" i="47"/>
  <c r="H16" i="47" s="1"/>
  <c r="B22" i="32"/>
  <c r="D10" i="47"/>
  <c r="B27" i="41"/>
  <c r="B26" i="32"/>
  <c r="B10" i="45"/>
  <c r="B13" i="40"/>
  <c r="D15" i="49"/>
  <c r="D11" i="41"/>
  <c r="F23" i="42"/>
  <c r="H23" i="42" s="1"/>
  <c r="F26" i="41"/>
  <c r="H26" i="41" s="1"/>
  <c r="B20" i="52"/>
  <c r="D14" i="40"/>
  <c r="B20" i="32"/>
  <c r="F19" i="32"/>
  <c r="H19" i="32" s="1"/>
  <c r="B11" i="43"/>
  <c r="F27" i="46"/>
  <c r="H27" i="46" s="1"/>
  <c r="D23" i="42"/>
  <c r="B23" i="38"/>
  <c r="F21" i="49"/>
  <c r="H21" i="49" s="1"/>
  <c r="B21" i="38"/>
  <c r="D27" i="41"/>
  <c r="B19" i="49"/>
  <c r="D8" i="40"/>
  <c r="F16" i="52"/>
  <c r="H16" i="52" s="1"/>
  <c r="B18" i="38"/>
  <c r="D23" i="52"/>
  <c r="B17" i="42"/>
  <c r="D13" i="46"/>
  <c r="F27" i="48"/>
  <c r="H27" i="48" s="1"/>
  <c r="B18" i="45"/>
  <c r="B10" i="47"/>
  <c r="B23" i="49"/>
  <c r="B10" i="38"/>
  <c r="F19" i="45"/>
  <c r="H19" i="45" s="1"/>
  <c r="F26" i="48"/>
  <c r="H26" i="48" s="1"/>
  <c r="D24" i="45"/>
  <c r="F27" i="47"/>
  <c r="H27" i="47" s="1"/>
  <c r="D27" i="37"/>
  <c r="B12" i="32"/>
  <c r="B19" i="41"/>
  <c r="B27" i="45"/>
  <c r="B8" i="34"/>
  <c r="D23" i="41"/>
  <c r="D17" i="43"/>
  <c r="B17" i="52"/>
  <c r="B14" i="40"/>
  <c r="F22" i="45"/>
  <c r="H22" i="45" s="1"/>
  <c r="B25" i="40"/>
  <c r="D13" i="45"/>
  <c r="B26" i="52"/>
  <c r="B16" i="40"/>
  <c r="B9" i="32"/>
  <c r="F22" i="37"/>
  <c r="H22" i="37" s="1"/>
  <c r="F27" i="45"/>
  <c r="H27" i="45" s="1"/>
  <c r="D25" i="40"/>
  <c r="D14" i="34"/>
  <c r="D25" i="38"/>
  <c r="B18" i="41"/>
  <c r="B15" i="49"/>
  <c r="F14" i="42"/>
  <c r="H14" i="42" s="1"/>
  <c r="D13" i="41"/>
  <c r="B13" i="43"/>
  <c r="B13" i="37"/>
  <c r="F15" i="38"/>
  <c r="H15" i="38" s="1"/>
  <c r="B27" i="39"/>
  <c r="F9" i="41"/>
  <c r="H9" i="41" s="1"/>
  <c r="B10" i="46"/>
  <c r="F16" i="48"/>
  <c r="H16" i="48" s="1"/>
  <c r="B18" i="40"/>
  <c r="F21" i="38"/>
  <c r="H21" i="38" s="1"/>
  <c r="F26" i="43"/>
  <c r="H26" i="43" s="1"/>
  <c r="B9" i="48"/>
  <c r="D21" i="44"/>
  <c r="F23" i="47"/>
  <c r="H23" i="47" s="1"/>
  <c r="B14" i="45"/>
  <c r="D23" i="46"/>
  <c r="F27" i="49"/>
  <c r="H27" i="49" s="1"/>
  <c r="F16" i="42"/>
  <c r="H16" i="42" s="1"/>
  <c r="D25" i="47"/>
  <c r="B26" i="46"/>
  <c r="B12" i="49"/>
  <c r="B20" i="37"/>
  <c r="B21" i="49"/>
  <c r="B11" i="34"/>
  <c r="F14" i="34"/>
  <c r="H14" i="34" s="1"/>
  <c r="B15" i="36"/>
  <c r="F14" i="43"/>
  <c r="H14" i="43" s="1"/>
  <c r="F23" i="43"/>
  <c r="H23" i="43" s="1"/>
  <c r="F19" i="38"/>
  <c r="H19" i="38" s="1"/>
  <c r="B21" i="39"/>
  <c r="D23" i="48"/>
  <c r="B22" i="46"/>
  <c r="D9" i="49"/>
  <c r="B23" i="40"/>
  <c r="D15" i="38"/>
  <c r="D17" i="41"/>
  <c r="D10" i="34"/>
  <c r="F16" i="36"/>
  <c r="H16" i="36" s="1"/>
  <c r="D18" i="37"/>
  <c r="F24" i="49"/>
  <c r="H24" i="49" s="1"/>
  <c r="F12" i="47"/>
  <c r="H12" i="47" s="1"/>
  <c r="B16" i="52"/>
  <c r="F9" i="48"/>
  <c r="H9" i="48" s="1"/>
  <c r="D26" i="45"/>
  <c r="B20" i="49"/>
  <c r="B9" i="46"/>
  <c r="D17" i="46"/>
  <c r="D25" i="37"/>
  <c r="B8" i="46"/>
  <c r="F14" i="32"/>
  <c r="H14" i="32" s="1"/>
  <c r="B16" i="47"/>
  <c r="F22" i="38"/>
  <c r="H22" i="38" s="1"/>
  <c r="D19" i="46"/>
  <c r="D27" i="39"/>
  <c r="F8" i="52"/>
  <c r="H8" i="52" s="1"/>
  <c r="F14" i="45"/>
  <c r="H14" i="45" s="1"/>
  <c r="D25" i="45"/>
  <c r="F15" i="52"/>
  <c r="H15" i="52" s="1"/>
  <c r="B16" i="32"/>
  <c r="D26" i="43"/>
  <c r="B21" i="45"/>
  <c r="F16" i="37"/>
  <c r="H16" i="37" s="1"/>
  <c r="F21" i="43"/>
  <c r="H21" i="43" s="1"/>
  <c r="B9" i="38"/>
  <c r="F21" i="52"/>
  <c r="H21" i="52" s="1"/>
  <c r="D19" i="48"/>
  <c r="B21" i="34"/>
  <c r="F20" i="49"/>
  <c r="H20" i="49" s="1"/>
  <c r="D25" i="41"/>
  <c r="B9" i="39"/>
  <c r="F26" i="42"/>
  <c r="H26" i="42" s="1"/>
  <c r="F11" i="41"/>
  <c r="H11" i="41" s="1"/>
  <c r="B13" i="47"/>
  <c r="F19" i="36"/>
  <c r="H19" i="36" s="1"/>
  <c r="D14" i="38"/>
  <c r="D13" i="43"/>
  <c r="B25" i="49"/>
  <c r="F27" i="37"/>
  <c r="H27" i="37" s="1"/>
  <c r="D14" i="52"/>
  <c r="B9" i="49"/>
  <c r="B21" i="52"/>
  <c r="F20" i="41"/>
  <c r="H20" i="41" s="1"/>
  <c r="B24" i="38"/>
  <c r="F15" i="34"/>
  <c r="H15" i="34" s="1"/>
  <c r="F21" i="44"/>
  <c r="H21" i="44" s="1"/>
  <c r="B23" i="52"/>
  <c r="F20" i="44"/>
  <c r="H20" i="44" s="1"/>
  <c r="F10" i="47"/>
  <c r="H10" i="47" s="1"/>
  <c r="B20" i="42"/>
  <c r="B16" i="42"/>
  <c r="B18" i="48"/>
  <c r="F21" i="41"/>
  <c r="H21" i="41" s="1"/>
  <c r="B9" i="40"/>
  <c r="F16" i="45"/>
  <c r="H16" i="45" s="1"/>
  <c r="D24" i="36"/>
  <c r="D12" i="46"/>
  <c r="B8" i="45"/>
  <c r="F9" i="36"/>
  <c r="H9" i="36" s="1"/>
  <c r="B27" i="42"/>
  <c r="B17" i="37"/>
  <c r="F25" i="32"/>
  <c r="H25" i="32" s="1"/>
  <c r="F9" i="40"/>
  <c r="H9" i="40" s="1"/>
  <c r="F10" i="42"/>
  <c r="H10" i="42" s="1"/>
  <c r="D26" i="36"/>
  <c r="D10" i="49"/>
  <c r="F11" i="43"/>
  <c r="H11" i="43" s="1"/>
  <c r="F11" i="42"/>
  <c r="H11" i="42" s="1"/>
  <c r="F25" i="46"/>
  <c r="H25" i="46" s="1"/>
  <c r="F25" i="37"/>
  <c r="H25" i="37" s="1"/>
  <c r="B22" i="45"/>
  <c r="D22" i="52"/>
  <c r="F26" i="39"/>
  <c r="H26" i="39" s="1"/>
  <c r="F22" i="40"/>
  <c r="H22" i="40" s="1"/>
  <c r="B18" i="44"/>
  <c r="D24" i="49"/>
  <c r="F13" i="47"/>
  <c r="H13" i="47" s="1"/>
  <c r="B10" i="44"/>
  <c r="D20" i="46"/>
  <c r="B16" i="44"/>
  <c r="D19" i="45"/>
  <c r="B11" i="38"/>
  <c r="B18" i="43"/>
  <c r="B15" i="40"/>
  <c r="D8" i="38"/>
  <c r="B10" i="41"/>
  <c r="F16" i="43"/>
  <c r="H16" i="43" s="1"/>
  <c r="D11" i="52"/>
  <c r="D22" i="37"/>
  <c r="D15" i="36"/>
  <c r="F10" i="48"/>
  <c r="H10" i="48" s="1"/>
  <c r="B25" i="39"/>
  <c r="B17" i="49"/>
  <c r="B11" i="41"/>
  <c r="D24" i="40"/>
  <c r="F25" i="52"/>
  <c r="H25" i="52" s="1"/>
  <c r="D19" i="36"/>
  <c r="B26" i="38"/>
  <c r="B12" i="40"/>
  <c r="F9" i="44"/>
  <c r="H9" i="44" s="1"/>
  <c r="B9" i="43"/>
  <c r="D14" i="32"/>
  <c r="D16" i="52"/>
  <c r="F20" i="52"/>
  <c r="H20" i="52" s="1"/>
  <c r="F26" i="44"/>
  <c r="H26" i="44" s="1"/>
  <c r="F18" i="39"/>
  <c r="H18" i="39" s="1"/>
  <c r="B14" i="49"/>
  <c r="D16" i="48"/>
  <c r="D18" i="48"/>
  <c r="F11" i="34"/>
  <c r="H11" i="34" s="1"/>
  <c r="F11" i="45"/>
  <c r="H11" i="45" s="1"/>
  <c r="D27" i="36"/>
  <c r="D9" i="40"/>
  <c r="D9" i="36"/>
  <c r="D26" i="40"/>
  <c r="D26" i="32"/>
  <c r="F20" i="37"/>
  <c r="H20" i="37" s="1"/>
  <c r="F10" i="39"/>
  <c r="H10" i="39" s="1"/>
  <c r="F14" i="40"/>
  <c r="H14" i="40" s="1"/>
  <c r="F12" i="42"/>
  <c r="H12" i="42" s="1"/>
  <c r="F23" i="34"/>
  <c r="H23" i="34" s="1"/>
  <c r="B12" i="46"/>
  <c r="F20" i="47"/>
  <c r="H20" i="47" s="1"/>
  <c r="B19" i="46"/>
  <c r="D23" i="34"/>
  <c r="B14" i="34"/>
  <c r="D10" i="39"/>
  <c r="D24" i="37"/>
  <c r="F22" i="36"/>
  <c r="H22" i="36" s="1"/>
  <c r="B13" i="46"/>
  <c r="F25" i="43"/>
  <c r="H25" i="43" s="1"/>
  <c r="F25" i="39"/>
  <c r="H25" i="39" s="1"/>
  <c r="F24" i="39"/>
  <c r="H24" i="39" s="1"/>
  <c r="F19" i="37"/>
  <c r="H19" i="37" s="1"/>
  <c r="F8" i="39"/>
  <c r="H8" i="39" s="1"/>
  <c r="D12" i="40"/>
  <c r="D10" i="40"/>
  <c r="B17" i="44"/>
  <c r="F25" i="36"/>
  <c r="H25" i="36" s="1"/>
  <c r="D20" i="39"/>
  <c r="B22" i="36"/>
  <c r="D19" i="37"/>
  <c r="F8" i="36"/>
  <c r="H8" i="36" s="1"/>
  <c r="F10" i="34"/>
  <c r="H10" i="34" s="1"/>
  <c r="F14" i="36"/>
  <c r="H14" i="36" s="1"/>
  <c r="F10" i="32"/>
  <c r="H10" i="32" s="1"/>
  <c r="F21" i="36"/>
  <c r="H21" i="36" s="1"/>
  <c r="F24" i="32"/>
  <c r="H24" i="32" s="1"/>
  <c r="F13" i="34"/>
  <c r="H13" i="34" s="1"/>
  <c r="B20" i="39"/>
  <c r="D18" i="39"/>
  <c r="F18" i="37"/>
  <c r="H18" i="37" s="1"/>
  <c r="B17" i="34"/>
  <c r="B26" i="39"/>
  <c r="D17" i="40"/>
  <c r="B25" i="32"/>
  <c r="F23" i="38"/>
  <c r="H23" i="38" s="1"/>
  <c r="D19" i="34"/>
  <c r="B21" i="36"/>
  <c r="F21" i="34"/>
  <c r="H21" i="34" s="1"/>
  <c r="D27" i="40"/>
  <c r="F11" i="37"/>
  <c r="H11" i="37" s="1"/>
  <c r="F17" i="40"/>
  <c r="H17" i="40" s="1"/>
  <c r="F26" i="34"/>
  <c r="H26" i="34" s="1"/>
  <c r="F21" i="40"/>
  <c r="H21" i="40" s="1"/>
  <c r="D11" i="42"/>
  <c r="B10" i="37"/>
  <c r="F27" i="40"/>
  <c r="H27" i="40" s="1"/>
  <c r="F27" i="32"/>
  <c r="H27" i="32" s="1"/>
  <c r="B20" i="43"/>
  <c r="B24" i="37"/>
  <c r="D25" i="39"/>
  <c r="F13" i="39"/>
  <c r="H13" i="39" s="1"/>
  <c r="D20" i="45"/>
  <c r="F27" i="36"/>
  <c r="H27" i="36" s="1"/>
  <c r="B22" i="40"/>
  <c r="B16" i="36"/>
  <c r="F27" i="34"/>
  <c r="H27" i="34" s="1"/>
  <c r="B10" i="40"/>
  <c r="D8" i="39"/>
  <c r="D23" i="43"/>
  <c r="D16" i="36"/>
  <c r="D9" i="32"/>
  <c r="F15" i="37"/>
  <c r="H15" i="37" s="1"/>
  <c r="B16" i="39"/>
  <c r="B25" i="37"/>
  <c r="D12" i="36"/>
  <c r="D8" i="46"/>
  <c r="F19" i="39"/>
  <c r="H19" i="39" s="1"/>
  <c r="B26" i="37"/>
  <c r="D23" i="36"/>
  <c r="B27" i="40"/>
  <c r="D17" i="32"/>
  <c r="B23" i="37"/>
  <c r="D19" i="32"/>
  <c r="D15" i="40"/>
  <c r="D17" i="42"/>
  <c r="D19" i="41"/>
  <c r="F18" i="40"/>
  <c r="H18" i="40" s="1"/>
  <c r="F10" i="36"/>
  <c r="H10" i="36" s="1"/>
  <c r="F9" i="32"/>
  <c r="H9" i="32" s="1"/>
  <c r="F23" i="3"/>
  <c r="H23" i="3" s="1"/>
  <c r="F11" i="5"/>
  <c r="H11" i="5" s="1"/>
  <c r="D28" i="1"/>
  <c r="F16" i="29"/>
  <c r="H16" i="29" s="1"/>
  <c r="F20" i="16"/>
  <c r="H20" i="16" s="1"/>
  <c r="B14" i="29"/>
  <c r="F13" i="33"/>
  <c r="H13" i="33" s="1"/>
  <c r="B9" i="15"/>
  <c r="B17" i="24"/>
  <c r="D12" i="12"/>
  <c r="D27" i="23"/>
  <c r="B25" i="12"/>
  <c r="B26" i="19"/>
  <c r="F20" i="7"/>
  <c r="H20" i="7" s="1"/>
  <c r="B19" i="31"/>
  <c r="D24" i="19"/>
  <c r="D20" i="24"/>
  <c r="B10" i="12"/>
  <c r="D11" i="29"/>
  <c r="B10" i="16"/>
  <c r="F23" i="21"/>
  <c r="H23" i="21" s="1"/>
  <c r="F11" i="35"/>
  <c r="H11" i="35" s="1"/>
  <c r="D12" i="16"/>
  <c r="B17" i="33"/>
  <c r="B14" i="31"/>
  <c r="F9" i="18"/>
  <c r="H9" i="18" s="1"/>
  <c r="F20" i="23"/>
  <c r="H20" i="23" s="1"/>
  <c r="D13" i="21"/>
  <c r="B13" i="35"/>
  <c r="B14" i="16"/>
  <c r="B9" i="35"/>
  <c r="B22" i="29"/>
  <c r="F24" i="33"/>
  <c r="H24" i="33" s="1"/>
  <c r="B10" i="19"/>
  <c r="D24" i="24"/>
  <c r="B22" i="12"/>
  <c r="D25" i="21"/>
  <c r="B21" i="21"/>
  <c r="B20" i="35"/>
  <c r="D20" i="20"/>
  <c r="F12" i="20"/>
  <c r="H12" i="20" s="1"/>
  <c r="F22" i="14"/>
  <c r="H22" i="14" s="1"/>
  <c r="F16" i="11"/>
  <c r="H16" i="11" s="1"/>
  <c r="F24" i="5"/>
  <c r="H24" i="5" s="1"/>
  <c r="D18" i="7"/>
  <c r="D17" i="12"/>
  <c r="F21" i="16"/>
  <c r="H21" i="16" s="1"/>
  <c r="F20" i="4"/>
  <c r="H20" i="4" s="1"/>
  <c r="F27" i="4"/>
  <c r="H27" i="4" s="1"/>
  <c r="F24" i="17"/>
  <c r="H24" i="17" s="1"/>
  <c r="F14" i="7"/>
  <c r="H14" i="7" s="1"/>
  <c r="F10" i="21"/>
  <c r="H10" i="21" s="1"/>
  <c r="F14" i="11"/>
  <c r="H14" i="11" s="1"/>
  <c r="F8" i="20"/>
  <c r="H8" i="20" s="1"/>
  <c r="F15" i="7"/>
  <c r="H15" i="7" s="1"/>
  <c r="D11" i="10"/>
  <c r="D9" i="15"/>
  <c r="F10" i="7"/>
  <c r="H10" i="7" s="1"/>
  <c r="B18" i="10"/>
  <c r="B12" i="31"/>
  <c r="B21" i="22"/>
  <c r="D10" i="9"/>
  <c r="D15" i="22"/>
  <c r="B15" i="12"/>
  <c r="B20" i="1"/>
  <c r="B14" i="5"/>
  <c r="B12" i="10"/>
  <c r="B27" i="9"/>
  <c r="B13" i="20"/>
  <c r="D23" i="15"/>
  <c r="B17" i="20"/>
  <c r="B16" i="5"/>
  <c r="D16" i="10"/>
  <c r="F19" i="4"/>
  <c r="H19" i="4" s="1"/>
  <c r="D16" i="18"/>
  <c r="D25" i="1"/>
  <c r="B20" i="7"/>
  <c r="B21" i="14"/>
  <c r="F27" i="22"/>
  <c r="H27" i="22" s="1"/>
  <c r="F21" i="21"/>
  <c r="H21" i="21" s="1"/>
  <c r="D25" i="10"/>
  <c r="F13" i="20"/>
  <c r="H13" i="20" s="1"/>
  <c r="B16" i="22"/>
  <c r="F22" i="12"/>
  <c r="H22" i="12" s="1"/>
  <c r="D23" i="31"/>
  <c r="B25" i="31"/>
  <c r="F18" i="15"/>
  <c r="H18" i="15" s="1"/>
  <c r="D20" i="23"/>
  <c r="D23" i="16"/>
  <c r="F8" i="35"/>
  <c r="H8" i="35" s="1"/>
  <c r="F23" i="16"/>
  <c r="H23" i="16" s="1"/>
  <c r="B25" i="29"/>
  <c r="D21" i="16"/>
  <c r="D18" i="21"/>
  <c r="F10" i="17"/>
  <c r="H10" i="17" s="1"/>
  <c r="F23" i="24"/>
  <c r="H23" i="24" s="1"/>
  <c r="F14" i="21"/>
  <c r="H14" i="21" s="1"/>
  <c r="F12" i="29"/>
  <c r="H12" i="29" s="1"/>
  <c r="F10" i="16"/>
  <c r="H10" i="16" s="1"/>
  <c r="B9" i="31"/>
  <c r="D14" i="31"/>
  <c r="B19" i="15"/>
  <c r="F18" i="31"/>
  <c r="H18" i="31" s="1"/>
  <c r="B20" i="15"/>
  <c r="F20" i="11"/>
  <c r="H20" i="11" s="1"/>
  <c r="H24" i="30"/>
  <c r="D25" i="23"/>
  <c r="F25" i="14"/>
  <c r="H25" i="14" s="1"/>
  <c r="B14" i="35"/>
  <c r="D22" i="19"/>
  <c r="B20" i="31"/>
  <c r="F24" i="18"/>
  <c r="H24" i="18" s="1"/>
  <c r="F9" i="33"/>
  <c r="H9" i="33" s="1"/>
  <c r="B14" i="3"/>
  <c r="F27" i="24"/>
  <c r="H27" i="24" s="1"/>
  <c r="F23" i="12"/>
  <c r="H23" i="12" s="1"/>
  <c r="D13" i="35"/>
  <c r="F13" i="16"/>
  <c r="H13" i="16" s="1"/>
  <c r="D12" i="33"/>
  <c r="F10" i="18"/>
  <c r="H10" i="18" s="1"/>
  <c r="F27" i="33"/>
  <c r="H27" i="33" s="1"/>
  <c r="B21" i="10"/>
  <c r="F27" i="8"/>
  <c r="H27" i="8" s="1"/>
  <c r="F21" i="8"/>
  <c r="H21" i="8" s="1"/>
  <c r="D19" i="20"/>
  <c r="B24" i="29"/>
  <c r="F18" i="6"/>
  <c r="H18" i="6" s="1"/>
  <c r="B11" i="35"/>
  <c r="D10" i="19"/>
  <c r="F12" i="33"/>
  <c r="H12" i="33" s="1"/>
  <c r="D22" i="15"/>
  <c r="F24" i="24"/>
  <c r="H24" i="24" s="1"/>
  <c r="B24" i="23"/>
  <c r="F20" i="14"/>
  <c r="H20" i="14" s="1"/>
  <c r="F9" i="23"/>
  <c r="H9" i="23" s="1"/>
  <c r="D17" i="23"/>
  <c r="B24" i="8"/>
  <c r="F21" i="31"/>
  <c r="H21" i="31" s="1"/>
  <c r="F17" i="24"/>
  <c r="H17" i="24" s="1"/>
  <c r="D14" i="15"/>
  <c r="B22" i="24"/>
  <c r="B23" i="16"/>
  <c r="F21" i="35"/>
  <c r="H21" i="35" s="1"/>
  <c r="D21" i="19"/>
  <c r="F17" i="35"/>
  <c r="H17" i="35" s="1"/>
  <c r="F19" i="16"/>
  <c r="H19" i="16" s="1"/>
  <c r="D11" i="14"/>
  <c r="F10" i="5"/>
  <c r="H10" i="5" s="1"/>
  <c r="D11" i="31"/>
  <c r="F27" i="15"/>
  <c r="H27" i="15" s="1"/>
  <c r="D10" i="23"/>
  <c r="B10" i="24"/>
  <c r="D24" i="35"/>
  <c r="D16" i="29"/>
  <c r="B21" i="19"/>
  <c r="F12" i="5"/>
  <c r="H12" i="5" s="1"/>
  <c r="B22" i="33"/>
  <c r="B13" i="18"/>
  <c r="B16" i="31"/>
  <c r="F8" i="23"/>
  <c r="H8" i="23" s="1"/>
  <c r="F15" i="35"/>
  <c r="H15" i="35" s="1"/>
  <c r="D17" i="29"/>
  <c r="D13" i="16"/>
  <c r="B10" i="30"/>
  <c r="D13" i="8"/>
  <c r="D13" i="22"/>
  <c r="F13" i="5"/>
  <c r="H13" i="5" s="1"/>
  <c r="B19" i="12"/>
  <c r="B24" i="22"/>
  <c r="B9" i="7"/>
  <c r="F9" i="20"/>
  <c r="H9" i="20" s="1"/>
  <c r="B21" i="7"/>
  <c r="B17" i="7"/>
  <c r="F15" i="1"/>
  <c r="H15" i="1" s="1"/>
  <c r="B22" i="20"/>
  <c r="F25" i="9"/>
  <c r="H25" i="9" s="1"/>
  <c r="D13" i="7"/>
  <c r="D27" i="10"/>
  <c r="D16" i="19"/>
  <c r="F10" i="9"/>
  <c r="H10" i="9" s="1"/>
  <c r="B23" i="7"/>
  <c r="B13" i="3"/>
  <c r="D11" i="11"/>
  <c r="F14" i="4"/>
  <c r="H14" i="4" s="1"/>
  <c r="F24" i="20"/>
  <c r="H24" i="20" s="1"/>
  <c r="D17" i="18"/>
  <c r="B12" i="11"/>
  <c r="B10" i="4"/>
  <c r="B15" i="1"/>
  <c r="D24" i="10"/>
  <c r="B20" i="14"/>
  <c r="F11" i="20"/>
  <c r="H11" i="20" s="1"/>
  <c r="B20" i="17"/>
  <c r="D19" i="1"/>
  <c r="F21" i="6"/>
  <c r="H21" i="6" s="1"/>
  <c r="B15" i="8"/>
  <c r="F27" i="6"/>
  <c r="H27" i="6" s="1"/>
  <c r="D23" i="20"/>
  <c r="F27" i="18"/>
  <c r="H27" i="18" s="1"/>
  <c r="B10" i="5"/>
  <c r="B26" i="17"/>
  <c r="F26" i="5"/>
  <c r="H26" i="5" s="1"/>
  <c r="D19" i="9"/>
  <c r="F27" i="29"/>
  <c r="H27" i="29" s="1"/>
  <c r="F16" i="9"/>
  <c r="H16" i="9" s="1"/>
  <c r="B9" i="8"/>
  <c r="F22" i="18"/>
  <c r="H22" i="18" s="1"/>
  <c r="B18" i="1"/>
  <c r="D15" i="19"/>
  <c r="B22" i="17"/>
  <c r="D12" i="15"/>
  <c r="B12" i="17"/>
  <c r="F19" i="1"/>
  <c r="H19" i="1" s="1"/>
  <c r="D17" i="11"/>
  <c r="D19" i="10"/>
  <c r="D12" i="22"/>
  <c r="D8" i="22"/>
  <c r="D27" i="22"/>
  <c r="F10" i="4"/>
  <c r="H10" i="4" s="1"/>
  <c r="F19" i="9"/>
  <c r="H19" i="9" s="1"/>
  <c r="F28" i="1"/>
  <c r="H28" i="1" s="1"/>
  <c r="B20" i="19"/>
  <c r="D14" i="22"/>
  <c r="D11" i="20"/>
  <c r="B9" i="11"/>
  <c r="D12" i="7"/>
  <c r="B12" i="4"/>
  <c r="F25" i="4"/>
  <c r="H25" i="4" s="1"/>
  <c r="B22" i="11"/>
  <c r="D25" i="31"/>
  <c r="B16" i="29"/>
  <c r="F19" i="23"/>
  <c r="H19" i="23" s="1"/>
  <c r="D19" i="12"/>
  <c r="F25" i="35"/>
  <c r="H25" i="35" s="1"/>
  <c r="B14" i="18"/>
  <c r="B21" i="24"/>
  <c r="F25" i="15"/>
  <c r="H25" i="15" s="1"/>
  <c r="B26" i="1"/>
  <c r="B11" i="19"/>
  <c r="B19" i="22"/>
  <c r="F10" i="10"/>
  <c r="H10" i="10" s="1"/>
  <c r="B18" i="7"/>
  <c r="B9" i="22"/>
  <c r="D23" i="14"/>
  <c r="D8" i="20"/>
  <c r="B27" i="20"/>
  <c r="F20" i="6"/>
  <c r="H20" i="6" s="1"/>
  <c r="F24" i="29"/>
  <c r="H24" i="29" s="1"/>
  <c r="B15" i="3"/>
  <c r="D19" i="11"/>
  <c r="F25" i="12"/>
  <c r="H25" i="12" s="1"/>
  <c r="B12" i="20"/>
  <c r="F17" i="9"/>
  <c r="H17" i="9" s="1"/>
  <c r="B25" i="7"/>
  <c r="D22" i="9"/>
  <c r="F12" i="12"/>
  <c r="H12" i="12" s="1"/>
  <c r="B11" i="9"/>
  <c r="D26" i="22"/>
  <c r="B24" i="10"/>
  <c r="F13" i="17"/>
  <c r="H13" i="17" s="1"/>
  <c r="B13" i="14"/>
  <c r="D20" i="12"/>
  <c r="D13" i="29"/>
  <c r="D9" i="31"/>
  <c r="F17" i="33"/>
  <c r="H17" i="33" s="1"/>
  <c r="B25" i="23"/>
  <c r="F22" i="33"/>
  <c r="H22" i="33" s="1"/>
  <c r="D22" i="35"/>
  <c r="F14" i="10"/>
  <c r="H14" i="10" s="1"/>
  <c r="B15" i="21"/>
  <c r="D22" i="18"/>
  <c r="F23" i="8"/>
  <c r="H23" i="8" s="1"/>
  <c r="B17" i="17"/>
  <c r="F27" i="20"/>
  <c r="H27" i="20" s="1"/>
  <c r="F25" i="8"/>
  <c r="H25" i="8" s="1"/>
  <c r="F20" i="20"/>
  <c r="H20" i="20" s="1"/>
  <c r="D26" i="14"/>
  <c r="D15" i="11"/>
  <c r="F15" i="20"/>
  <c r="H15" i="20" s="1"/>
  <c r="D15" i="7"/>
  <c r="D24" i="22"/>
  <c r="B18" i="4"/>
  <c r="B17" i="8"/>
  <c r="D22" i="7"/>
  <c r="D24" i="11"/>
  <c r="B24" i="31"/>
  <c r="D15" i="24"/>
  <c r="B16" i="24"/>
  <c r="B12" i="21"/>
  <c r="D22" i="23"/>
  <c r="D11" i="18"/>
  <c r="F26" i="17"/>
  <c r="H26" i="17" s="1"/>
  <c r="F16" i="19"/>
  <c r="H16" i="19" s="1"/>
  <c r="B12" i="23"/>
  <c r="F19" i="24"/>
  <c r="H19" i="24" s="1"/>
  <c r="B8" i="23"/>
  <c r="B19" i="4"/>
  <c r="F13" i="22"/>
  <c r="H13" i="22" s="1"/>
  <c r="B14" i="8"/>
  <c r="F13" i="21"/>
  <c r="H13" i="21" s="1"/>
  <c r="F14" i="6"/>
  <c r="H14" i="6" s="1"/>
  <c r="D26" i="12"/>
  <c r="B16" i="35"/>
  <c r="F12" i="6"/>
  <c r="H12" i="6" s="1"/>
  <c r="F19" i="20"/>
  <c r="H19" i="20" s="1"/>
  <c r="B26" i="20"/>
  <c r="B15" i="4"/>
  <c r="D20" i="19"/>
  <c r="F22" i="21"/>
  <c r="H22" i="21" s="1"/>
  <c r="D20" i="21"/>
  <c r="F13" i="19"/>
  <c r="H13" i="19" s="1"/>
  <c r="F12" i="16"/>
  <c r="H12" i="16" s="1"/>
  <c r="F20" i="31"/>
  <c r="H20" i="31" s="1"/>
  <c r="F18" i="11"/>
  <c r="H18" i="11" s="1"/>
  <c r="D25" i="14"/>
  <c r="F15" i="3"/>
  <c r="H15" i="3" s="1"/>
  <c r="F17" i="15"/>
  <c r="H17" i="15" s="1"/>
  <c r="D14" i="9"/>
  <c r="D18" i="10"/>
  <c r="B22" i="18"/>
  <c r="F23" i="31"/>
  <c r="H23" i="31" s="1"/>
  <c r="F13" i="14"/>
  <c r="H13" i="14" s="1"/>
  <c r="B27" i="15"/>
  <c r="D26" i="9"/>
  <c r="F15" i="29"/>
  <c r="H15" i="29" s="1"/>
  <c r="D25" i="33"/>
  <c r="D20" i="16"/>
  <c r="B15" i="23"/>
  <c r="F9" i="29"/>
  <c r="H9" i="29" s="1"/>
  <c r="B22" i="23"/>
  <c r="F13" i="12"/>
  <c r="H13" i="12" s="1"/>
  <c r="D9" i="35"/>
  <c r="B15" i="16"/>
  <c r="B11" i="31"/>
  <c r="D17" i="31"/>
  <c r="F24" i="15"/>
  <c r="H24" i="15" s="1"/>
  <c r="D24" i="31"/>
  <c r="D23" i="18"/>
  <c r="B21" i="11"/>
  <c r="B27" i="4"/>
  <c r="B15" i="35"/>
  <c r="F14" i="19"/>
  <c r="H14" i="19" s="1"/>
  <c r="F13" i="31"/>
  <c r="H13" i="31" s="1"/>
  <c r="D25" i="12"/>
  <c r="B11" i="23"/>
  <c r="D24" i="12"/>
  <c r="F17" i="23"/>
  <c r="H17" i="23" s="1"/>
  <c r="B19" i="23"/>
  <c r="D21" i="14"/>
  <c r="B27" i="1"/>
  <c r="D24" i="29"/>
  <c r="B16" i="16"/>
  <c r="B16" i="33"/>
  <c r="F22" i="31"/>
  <c r="H22" i="31" s="1"/>
  <c r="F18" i="12"/>
  <c r="H18" i="12" s="1"/>
  <c r="F16" i="24"/>
  <c r="H16" i="24" s="1"/>
  <c r="B25" i="21"/>
  <c r="B27" i="23"/>
  <c r="F14" i="35"/>
  <c r="H14" i="35" s="1"/>
  <c r="F25" i="21"/>
  <c r="H25" i="21" s="1"/>
  <c r="F16" i="35"/>
  <c r="H16" i="35" s="1"/>
  <c r="D15" i="33"/>
  <c r="D13" i="15"/>
  <c r="D15" i="23"/>
  <c r="B13" i="12"/>
  <c r="B9" i="23"/>
  <c r="B17" i="6"/>
  <c r="D15" i="18"/>
  <c r="B18" i="14"/>
  <c r="F15" i="15"/>
  <c r="H15" i="15" s="1"/>
  <c r="B10" i="17"/>
  <c r="F26" i="7"/>
  <c r="H26" i="7" s="1"/>
  <c r="B10" i="20"/>
  <c r="B19" i="3"/>
  <c r="F11" i="3"/>
  <c r="H11" i="3" s="1"/>
  <c r="B17" i="10"/>
  <c r="D9" i="9"/>
  <c r="F10" i="12"/>
  <c r="H10" i="12" s="1"/>
  <c r="B13" i="4"/>
  <c r="B22" i="8"/>
  <c r="B26" i="14"/>
  <c r="F11" i="17"/>
  <c r="H11" i="17" s="1"/>
  <c r="B12" i="15"/>
  <c r="D12" i="29"/>
  <c r="F19" i="6"/>
  <c r="H19" i="6" s="1"/>
  <c r="D11" i="8"/>
  <c r="D20" i="11"/>
  <c r="D21" i="35"/>
  <c r="F21" i="10"/>
  <c r="H21" i="10" s="1"/>
  <c r="B15" i="6"/>
  <c r="F13" i="11"/>
  <c r="H13" i="11" s="1"/>
  <c r="D12" i="8"/>
  <c r="B17" i="11"/>
  <c r="F16" i="22"/>
  <c r="H16" i="22" s="1"/>
  <c r="D15" i="20"/>
  <c r="B13" i="10"/>
  <c r="D22" i="16"/>
  <c r="B11" i="5"/>
  <c r="B11" i="1"/>
  <c r="F27" i="3"/>
  <c r="H27" i="3" s="1"/>
  <c r="B24" i="20"/>
  <c r="F27" i="9"/>
  <c r="H27" i="9" s="1"/>
  <c r="D22" i="14"/>
  <c r="B20" i="4"/>
  <c r="F22" i="8"/>
  <c r="H22" i="8" s="1"/>
  <c r="F21" i="1"/>
  <c r="H21" i="1" s="1"/>
  <c r="B21" i="29"/>
  <c r="F11" i="19"/>
  <c r="H11" i="19" s="1"/>
  <c r="B24" i="33"/>
  <c r="D12" i="24"/>
  <c r="D15" i="12"/>
  <c r="B12" i="35"/>
  <c r="B23" i="21"/>
  <c r="F26" i="23"/>
  <c r="H26" i="23" s="1"/>
  <c r="F15" i="21"/>
  <c r="H15" i="21" s="1"/>
  <c r="D17" i="15"/>
  <c r="B22" i="1"/>
  <c r="F26" i="24"/>
  <c r="H26" i="24" s="1"/>
  <c r="B10" i="15"/>
  <c r="D16" i="23"/>
  <c r="D24" i="21"/>
  <c r="D9" i="33"/>
  <c r="D20" i="18"/>
  <c r="B26" i="29"/>
  <c r="B12" i="29"/>
  <c r="F15" i="19"/>
  <c r="H15" i="19" s="1"/>
  <c r="F19" i="10"/>
  <c r="H19" i="10" s="1"/>
  <c r="D21" i="31"/>
  <c r="B17" i="23"/>
  <c r="B14" i="15"/>
  <c r="B20" i="23"/>
  <c r="F18" i="16"/>
  <c r="H18" i="16" s="1"/>
  <c r="B25" i="33"/>
  <c r="B19" i="18"/>
  <c r="D26" i="33"/>
  <c r="B14" i="33"/>
  <c r="F10" i="31"/>
  <c r="H10" i="31" s="1"/>
  <c r="D27" i="18"/>
  <c r="D22" i="24"/>
  <c r="D11" i="21"/>
  <c r="B15" i="29"/>
  <c r="D25" i="16"/>
  <c r="B26" i="35"/>
  <c r="D21" i="1"/>
  <c r="F9" i="10"/>
  <c r="H9" i="10" s="1"/>
  <c r="B23" i="15"/>
  <c r="B26" i="12"/>
  <c r="B11" i="3"/>
  <c r="F21" i="5"/>
  <c r="H21" i="5" s="1"/>
  <c r="F23" i="29"/>
  <c r="H23" i="29" s="1"/>
  <c r="D14" i="21"/>
  <c r="B18" i="29"/>
  <c r="B17" i="18"/>
  <c r="B15" i="24"/>
  <c r="B17" i="15"/>
  <c r="F26" i="31"/>
  <c r="H26" i="31" s="1"/>
  <c r="B23" i="24"/>
  <c r="F13" i="15"/>
  <c r="H13" i="15" s="1"/>
  <c r="D12" i="35"/>
  <c r="F23" i="19"/>
  <c r="H23" i="19" s="1"/>
  <c r="B18" i="31"/>
  <c r="F11" i="23"/>
  <c r="H11" i="23" s="1"/>
  <c r="B11" i="12"/>
  <c r="F14" i="29"/>
  <c r="H14" i="29" s="1"/>
  <c r="B18" i="16"/>
  <c r="B24" i="35"/>
  <c r="F12" i="21"/>
  <c r="H12" i="21" s="1"/>
  <c r="B13" i="15"/>
  <c r="F14" i="17"/>
  <c r="H14" i="17" s="1"/>
  <c r="B9" i="33"/>
  <c r="D25" i="18"/>
  <c r="F25" i="31"/>
  <c r="H25" i="31" s="1"/>
  <c r="F21" i="15"/>
  <c r="H21" i="15" s="1"/>
  <c r="F25" i="29"/>
  <c r="H25" i="29" s="1"/>
  <c r="B17" i="21"/>
  <c r="F9" i="11"/>
  <c r="H9" i="11" s="1"/>
  <c r="B27" i="5"/>
  <c r="D19" i="35"/>
  <c r="B13" i="16"/>
  <c r="F15" i="33"/>
  <c r="H15" i="33" s="1"/>
  <c r="F26" i="15"/>
  <c r="H26" i="15" s="1"/>
  <c r="B23" i="23"/>
  <c r="B26" i="24"/>
  <c r="F23" i="14"/>
  <c r="H23" i="14" s="1"/>
  <c r="B14" i="1"/>
  <c r="F21" i="7"/>
  <c r="H21" i="7" s="1"/>
  <c r="D10" i="22"/>
  <c r="D20" i="10"/>
  <c r="B11" i="33"/>
  <c r="D14" i="8"/>
  <c r="B16" i="17"/>
  <c r="D15" i="9"/>
  <c r="D16" i="21"/>
  <c r="B21" i="1"/>
  <c r="D26" i="20"/>
  <c r="F15" i="6"/>
  <c r="H15" i="6" s="1"/>
  <c r="B26" i="11"/>
  <c r="B17" i="5"/>
  <c r="B21" i="8"/>
  <c r="B24" i="7"/>
  <c r="B26" i="8"/>
  <c r="D9" i="10"/>
  <c r="D18" i="8"/>
  <c r="F21" i="20"/>
  <c r="H21" i="20" s="1"/>
  <c r="D9" i="12"/>
  <c r="D26" i="1"/>
  <c r="B27" i="10"/>
  <c r="B13" i="8"/>
  <c r="F11" i="10"/>
  <c r="H11" i="10" s="1"/>
  <c r="F17" i="3"/>
  <c r="H17" i="3" s="1"/>
  <c r="B22" i="3"/>
  <c r="D13" i="11"/>
  <c r="B26" i="9"/>
  <c r="F16" i="16"/>
  <c r="H16" i="16" s="1"/>
  <c r="D27" i="20"/>
  <c r="F19" i="7"/>
  <c r="H19" i="7" s="1"/>
  <c r="F12" i="22"/>
  <c r="H12" i="22" s="1"/>
  <c r="F15" i="9"/>
  <c r="H15" i="9" s="1"/>
  <c r="F15" i="12"/>
  <c r="H15" i="12" s="1"/>
  <c r="B14" i="22"/>
  <c r="F22" i="22"/>
  <c r="H22" i="22" s="1"/>
  <c r="F20" i="24"/>
  <c r="H20" i="24" s="1"/>
  <c r="F17" i="5"/>
  <c r="H17" i="5" s="1"/>
  <c r="F22" i="29"/>
  <c r="H22" i="29" s="1"/>
  <c r="F23" i="9"/>
  <c r="H23" i="9" s="1"/>
  <c r="F26" i="3"/>
  <c r="H26" i="3" s="1"/>
  <c r="D19" i="18"/>
  <c r="B25" i="1"/>
  <c r="F16" i="14"/>
  <c r="H16" i="14" s="1"/>
  <c r="D13" i="20"/>
  <c r="F19" i="11"/>
  <c r="H19" i="11" s="1"/>
  <c r="B8" i="20"/>
  <c r="D27" i="7"/>
  <c r="B21" i="4"/>
  <c r="F27" i="14"/>
  <c r="H27" i="14" s="1"/>
  <c r="D17" i="20"/>
  <c r="D26" i="7"/>
  <c r="B26" i="22"/>
  <c r="F20" i="3"/>
  <c r="H20" i="3" s="1"/>
  <c r="B25" i="5"/>
  <c r="B22" i="22"/>
  <c r="F19" i="18"/>
  <c r="H19" i="18" s="1"/>
  <c r="B23" i="1"/>
  <c r="D18" i="11"/>
  <c r="B21" i="20"/>
  <c r="D17" i="8"/>
  <c r="D27" i="1"/>
  <c r="D19" i="21"/>
  <c r="D23" i="19"/>
  <c r="F26" i="16"/>
  <c r="H26" i="16" s="1"/>
  <c r="B18" i="18"/>
  <c r="D18" i="16"/>
  <c r="D11" i="35"/>
  <c r="D16" i="33"/>
  <c r="D15" i="31"/>
  <c r="B26" i="18"/>
  <c r="B21" i="3"/>
  <c r="B11" i="4"/>
  <c r="D16" i="11"/>
  <c r="F22" i="1"/>
  <c r="H22" i="1" s="1"/>
  <c r="D25" i="7"/>
  <c r="B12" i="22"/>
  <c r="D23" i="22"/>
  <c r="B12" i="16"/>
  <c r="B21" i="9"/>
  <c r="B25" i="19"/>
  <c r="B16" i="8"/>
  <c r="F10" i="11"/>
  <c r="H10" i="11" s="1"/>
  <c r="H10" i="30"/>
  <c r="F11" i="1"/>
  <c r="H11" i="1" s="1"/>
  <c r="F20" i="12"/>
  <c r="H20" i="12" s="1"/>
  <c r="D14" i="35"/>
  <c r="D26" i="11"/>
  <c r="F21" i="17"/>
  <c r="H21" i="17" s="1"/>
  <c r="F18" i="1"/>
  <c r="H18" i="1" s="1"/>
  <c r="D23" i="1"/>
  <c r="D26" i="10"/>
  <c r="B9" i="29"/>
  <c r="F24" i="1"/>
  <c r="H24" i="1" s="1"/>
  <c r="B22" i="19"/>
  <c r="F12" i="23"/>
  <c r="H12" i="23" s="1"/>
  <c r="B14" i="24"/>
  <c r="B26" i="33"/>
  <c r="B13" i="33"/>
  <c r="B23" i="14"/>
  <c r="F23" i="18"/>
  <c r="H23" i="18" s="1"/>
  <c r="B18" i="17"/>
  <c r="B23" i="31"/>
  <c r="D9" i="23"/>
  <c r="B23" i="17"/>
  <c r="D8" i="24"/>
  <c r="D10" i="15"/>
  <c r="F16" i="23"/>
  <c r="H16" i="23" s="1"/>
  <c r="D23" i="21"/>
  <c r="D10" i="29"/>
  <c r="F22" i="19"/>
  <c r="H22" i="19" s="1"/>
  <c r="D27" i="35"/>
  <c r="D20" i="35"/>
  <c r="F17" i="18"/>
  <c r="H17" i="18" s="1"/>
  <c r="D20" i="9"/>
  <c r="D12" i="23"/>
  <c r="F27" i="21"/>
  <c r="H27" i="21" s="1"/>
  <c r="B21" i="35"/>
  <c r="D17" i="33"/>
  <c r="B23" i="19"/>
  <c r="B19" i="24"/>
  <c r="D20" i="15"/>
  <c r="F11" i="31"/>
  <c r="H11" i="31" s="1"/>
  <c r="F11" i="15"/>
  <c r="H11" i="15" s="1"/>
  <c r="B21" i="16"/>
  <c r="B18" i="3"/>
  <c r="F21" i="23"/>
  <c r="H21" i="23" s="1"/>
  <c r="D10" i="21"/>
  <c r="F19" i="35"/>
  <c r="H19" i="35" s="1"/>
  <c r="F25" i="18"/>
  <c r="H25" i="18" s="1"/>
  <c r="B27" i="24"/>
  <c r="F27" i="23"/>
  <c r="H27" i="23" s="1"/>
  <c r="F27" i="12"/>
  <c r="H27" i="12" s="1"/>
  <c r="F24" i="4"/>
  <c r="H24" i="4" s="1"/>
  <c r="F22" i="24"/>
  <c r="H22" i="24" s="1"/>
  <c r="B18" i="12"/>
  <c r="F8" i="24"/>
  <c r="H8" i="24" s="1"/>
  <c r="D15" i="16"/>
  <c r="F12" i="31"/>
  <c r="H12" i="31" s="1"/>
  <c r="F17" i="31"/>
  <c r="H17" i="31" s="1"/>
  <c r="B25" i="15"/>
  <c r="B16" i="1"/>
  <c r="B24" i="19"/>
  <c r="B24" i="14"/>
  <c r="B20" i="20"/>
  <c r="B26" i="16"/>
  <c r="F19" i="5"/>
  <c r="H19" i="5" s="1"/>
  <c r="F24" i="9"/>
  <c r="H24" i="9" s="1"/>
  <c r="B14" i="4"/>
  <c r="F20" i="9"/>
  <c r="H20" i="9" s="1"/>
  <c r="F25" i="5"/>
  <c r="H25" i="5" s="1"/>
  <c r="B12" i="3"/>
  <c r="D9" i="8"/>
  <c r="D16" i="16"/>
  <c r="D20" i="22"/>
  <c r="B19" i="20"/>
  <c r="F16" i="10"/>
  <c r="H16" i="10" s="1"/>
  <c r="D19" i="15"/>
  <c r="B22" i="5"/>
  <c r="B9" i="18"/>
  <c r="B12" i="7"/>
  <c r="F12" i="9"/>
  <c r="H12" i="9" s="1"/>
  <c r="F17" i="17"/>
  <c r="H17" i="17" s="1"/>
  <c r="F10" i="6"/>
  <c r="H10" i="6" s="1"/>
  <c r="B18" i="9"/>
  <c r="D25" i="20"/>
  <c r="F22" i="15"/>
  <c r="H22" i="15" s="1"/>
  <c r="D22" i="10"/>
  <c r="D13" i="9"/>
  <c r="F20" i="1"/>
  <c r="H20" i="1" s="1"/>
  <c r="F15" i="11"/>
  <c r="H15" i="11" s="1"/>
  <c r="D22" i="20"/>
  <c r="F23" i="4"/>
  <c r="H23" i="4" s="1"/>
  <c r="D11" i="15"/>
  <c r="B21" i="6"/>
  <c r="F23" i="1"/>
  <c r="H23" i="1" s="1"/>
  <c r="H19" i="30"/>
  <c r="D17" i="14"/>
  <c r="F23" i="22"/>
  <c r="H23" i="22" s="1"/>
  <c r="F17" i="8"/>
  <c r="H17" i="8" s="1"/>
  <c r="B10" i="22"/>
  <c r="D10" i="16"/>
  <c r="F8" i="22"/>
  <c r="H8" i="22" s="1"/>
  <c r="F12" i="10"/>
  <c r="H12" i="10" s="1"/>
  <c r="F19" i="17"/>
  <c r="H19" i="17" s="1"/>
  <c r="D21" i="23"/>
  <c r="F24" i="16"/>
  <c r="H24" i="16" s="1"/>
  <c r="B10" i="29"/>
  <c r="B14" i="19"/>
  <c r="B24" i="24"/>
  <c r="F24" i="23"/>
  <c r="H24" i="23" s="1"/>
  <c r="B27" i="12"/>
  <c r="B13" i="23"/>
  <c r="B15" i="15"/>
  <c r="B20" i="11"/>
  <c r="D22" i="33"/>
  <c r="B20" i="33"/>
  <c r="D26" i="18"/>
  <c r="D21" i="24"/>
  <c r="D20" i="14"/>
  <c r="F11" i="29"/>
  <c r="H11" i="29" s="1"/>
  <c r="B19" i="21"/>
  <c r="B13" i="29"/>
  <c r="B14" i="21"/>
  <c r="D22" i="11"/>
  <c r="F13" i="3"/>
  <c r="H13" i="3" s="1"/>
  <c r="B21" i="33"/>
  <c r="D21" i="18"/>
  <c r="D16" i="31"/>
  <c r="D9" i="24"/>
  <c r="B12" i="14"/>
  <c r="B17" i="35"/>
  <c r="F17" i="16"/>
  <c r="H17" i="16" s="1"/>
  <c r="B19" i="6"/>
  <c r="F20" i="35"/>
  <c r="H20" i="35" s="1"/>
  <c r="D14" i="16"/>
  <c r="F11" i="33"/>
  <c r="H11" i="33" s="1"/>
  <c r="F19" i="31"/>
  <c r="H19" i="31" s="1"/>
  <c r="F11" i="12"/>
  <c r="H11" i="12" s="1"/>
  <c r="F14" i="23"/>
  <c r="H14" i="23" s="1"/>
  <c r="D27" i="21"/>
  <c r="B23" i="4"/>
  <c r="B25" i="10"/>
  <c r="B26" i="5"/>
  <c r="D15" i="10"/>
  <c r="B16" i="19"/>
  <c r="D16" i="24"/>
  <c r="B14" i="23"/>
  <c r="B17" i="12"/>
  <c r="F18" i="29"/>
  <c r="H18" i="29" s="1"/>
  <c r="B9" i="19"/>
  <c r="F16" i="33"/>
  <c r="H16" i="33" s="1"/>
  <c r="F11" i="18"/>
  <c r="H11" i="18" s="1"/>
  <c r="D24" i="33"/>
  <c r="F24" i="19"/>
  <c r="H24" i="19" s="1"/>
  <c r="B13" i="21"/>
  <c r="B15" i="5"/>
  <c r="F23" i="35"/>
  <c r="H23" i="35" s="1"/>
  <c r="B19" i="16"/>
  <c r="D9" i="29"/>
  <c r="F12" i="18"/>
  <c r="H12" i="18" s="1"/>
  <c r="D23" i="23"/>
  <c r="D26" i="24"/>
  <c r="D13" i="12"/>
  <c r="F10" i="24"/>
  <c r="H10" i="24" s="1"/>
  <c r="B12" i="12"/>
  <c r="D23" i="11"/>
  <c r="D26" i="29"/>
  <c r="B11" i="16"/>
  <c r="B23" i="33"/>
  <c r="D26" i="15"/>
  <c r="B12" i="24"/>
  <c r="D16" i="15"/>
  <c r="F21" i="24"/>
  <c r="H21" i="24" s="1"/>
  <c r="F13" i="1"/>
  <c r="H13" i="1" s="1"/>
  <c r="F22" i="35"/>
  <c r="H22" i="35" s="1"/>
  <c r="F18" i="21"/>
  <c r="H18" i="21" s="1"/>
  <c r="B27" i="35"/>
  <c r="B20" i="18"/>
  <c r="B17" i="31"/>
  <c r="D21" i="15"/>
  <c r="B27" i="31"/>
  <c r="F24" i="8"/>
  <c r="H24" i="8" s="1"/>
  <c r="F14" i="5"/>
  <c r="H14" i="5" s="1"/>
  <c r="D17" i="22"/>
  <c r="B16" i="14"/>
  <c r="B14" i="6"/>
  <c r="B12" i="8"/>
  <c r="D27" i="9"/>
  <c r="F9" i="12"/>
  <c r="H9" i="12" s="1"/>
  <c r="D25" i="29"/>
  <c r="F24" i="6"/>
  <c r="H24" i="6" s="1"/>
  <c r="D24" i="9"/>
  <c r="F9" i="19"/>
  <c r="H9" i="19" s="1"/>
  <c r="F25" i="20"/>
  <c r="H25" i="20" s="1"/>
  <c r="D16" i="22"/>
  <c r="B12" i="5"/>
  <c r="F24" i="14"/>
  <c r="H24" i="14" s="1"/>
  <c r="B16" i="9"/>
  <c r="B17" i="3"/>
  <c r="F26" i="18"/>
  <c r="H26" i="18" s="1"/>
  <c r="F24" i="22"/>
  <c r="H24" i="22" s="1"/>
  <c r="B23" i="5"/>
  <c r="F20" i="22"/>
  <c r="H20" i="22" s="1"/>
  <c r="H21" i="30"/>
  <c r="B11" i="6"/>
  <c r="B23" i="22"/>
  <c r="F25" i="10"/>
  <c r="H25" i="10" s="1"/>
  <c r="D10" i="20"/>
  <c r="F12" i="17"/>
  <c r="H12" i="17" s="1"/>
  <c r="D19" i="14"/>
  <c r="B17" i="1"/>
  <c r="B11" i="21"/>
  <c r="B26" i="3"/>
  <c r="F25" i="11"/>
  <c r="H25" i="11" s="1"/>
  <c r="D11" i="33"/>
  <c r="F22" i="17"/>
  <c r="H22" i="17" s="1"/>
  <c r="B19" i="5"/>
  <c r="F19" i="22"/>
  <c r="H19" i="22" s="1"/>
  <c r="F17" i="21"/>
  <c r="H17" i="21" s="1"/>
  <c r="B19" i="9"/>
  <c r="B17" i="9"/>
  <c r="F12" i="8"/>
  <c r="H12" i="8" s="1"/>
  <c r="D14" i="20"/>
  <c r="D23" i="9"/>
  <c r="D10" i="8"/>
  <c r="H22" i="30"/>
  <c r="D26" i="35"/>
  <c r="B17" i="4"/>
  <c r="B15" i="10"/>
  <c r="D14" i="18"/>
  <c r="D21" i="10"/>
  <c r="F25" i="1"/>
  <c r="H25" i="1" s="1"/>
  <c r="D10" i="10"/>
  <c r="F20" i="5"/>
  <c r="H20" i="5" s="1"/>
  <c r="B15" i="9"/>
  <c r="D17" i="21"/>
  <c r="F15" i="4"/>
  <c r="H15" i="4" s="1"/>
  <c r="B11" i="30"/>
  <c r="F18" i="5"/>
  <c r="H18" i="5" s="1"/>
  <c r="B25" i="17"/>
  <c r="F20" i="10"/>
  <c r="H20" i="10" s="1"/>
  <c r="D16" i="8"/>
  <c r="D15" i="29"/>
  <c r="F26" i="33"/>
  <c r="H26" i="33" s="1"/>
  <c r="B10" i="35"/>
  <c r="D13" i="31"/>
  <c r="F24" i="35"/>
  <c r="H24" i="35" s="1"/>
  <c r="D8" i="23"/>
  <c r="B27" i="3"/>
  <c r="B9" i="12"/>
  <c r="B17" i="16"/>
  <c r="B27" i="33"/>
  <c r="F26" i="20"/>
  <c r="H26" i="20" s="1"/>
  <c r="F15" i="22"/>
  <c r="H15" i="22" s="1"/>
  <c r="F20" i="18"/>
  <c r="H20" i="18" s="1"/>
  <c r="D25" i="11"/>
  <c r="F23" i="15"/>
  <c r="H23" i="15" s="1"/>
  <c r="F21" i="3"/>
  <c r="H21" i="3" s="1"/>
  <c r="F26" i="11"/>
  <c r="H26" i="11" s="1"/>
  <c r="D24" i="8"/>
  <c r="D22" i="1"/>
  <c r="F12" i="15"/>
  <c r="H12" i="15" s="1"/>
  <c r="B16" i="4"/>
  <c r="B15" i="7"/>
  <c r="B9" i="17"/>
  <c r="D11" i="7"/>
  <c r="F24" i="3"/>
  <c r="H24" i="3" s="1"/>
  <c r="B23" i="11"/>
  <c r="F18" i="4"/>
  <c r="H18" i="4" s="1"/>
  <c r="B16" i="21"/>
  <c r="D12" i="9"/>
  <c r="F13" i="10"/>
  <c r="H13" i="10" s="1"/>
  <c r="D26" i="16"/>
  <c r="B14" i="11"/>
  <c r="B24" i="4"/>
  <c r="F18" i="18"/>
  <c r="H18" i="18" s="1"/>
  <c r="B8" i="24"/>
  <c r="F16" i="18"/>
  <c r="H16" i="18" s="1"/>
  <c r="D13" i="23"/>
  <c r="D15" i="21"/>
  <c r="B15" i="33"/>
  <c r="F15" i="24"/>
  <c r="H15" i="24" s="1"/>
  <c r="F10" i="29"/>
  <c r="H10" i="29" s="1"/>
  <c r="D14" i="12"/>
  <c r="F27" i="1"/>
  <c r="H27" i="1" s="1"/>
  <c r="B24" i="6"/>
  <c r="F25" i="3"/>
  <c r="H25" i="3" s="1"/>
  <c r="B19" i="10"/>
  <c r="B9" i="9"/>
  <c r="B11" i="15"/>
  <c r="B20" i="22"/>
  <c r="B27" i="17"/>
  <c r="F12" i="7"/>
  <c r="H12" i="7" s="1"/>
  <c r="D18" i="15"/>
  <c r="B16" i="10"/>
  <c r="F19" i="3"/>
  <c r="H19" i="3" s="1"/>
  <c r="B22" i="21"/>
  <c r="B15" i="31"/>
  <c r="B17" i="29"/>
  <c r="F9" i="24"/>
  <c r="H9" i="24" s="1"/>
  <c r="D18" i="33"/>
  <c r="H14" i="30"/>
  <c r="F16" i="15"/>
  <c r="H16" i="15" s="1"/>
  <c r="F16" i="21"/>
  <c r="H16" i="21" s="1"/>
  <c r="D11" i="19"/>
  <c r="F10" i="33"/>
  <c r="H10" i="33" s="1"/>
  <c r="F27" i="31"/>
  <c r="H27" i="31" s="1"/>
  <c r="F15" i="18"/>
  <c r="H15" i="18" s="1"/>
  <c r="B16" i="23"/>
  <c r="D10" i="33"/>
  <c r="B19" i="35"/>
  <c r="F14" i="15"/>
  <c r="H14" i="15" s="1"/>
  <c r="D26" i="21"/>
  <c r="B25" i="16"/>
  <c r="F23" i="6"/>
  <c r="H23" i="6" s="1"/>
  <c r="F14" i="20"/>
  <c r="H14" i="20" s="1"/>
  <c r="F15" i="31"/>
  <c r="H15" i="31" s="1"/>
  <c r="F15" i="8"/>
  <c r="H15" i="8" s="1"/>
  <c r="F17" i="6"/>
  <c r="H17" i="6" s="1"/>
  <c r="F12" i="4"/>
  <c r="H12" i="4" s="1"/>
  <c r="B26" i="10"/>
  <c r="B10" i="7"/>
  <c r="F12" i="11"/>
  <c r="H12" i="11" s="1"/>
  <c r="B27" i="8"/>
  <c r="D25" i="9"/>
  <c r="B27" i="6"/>
  <c r="F27" i="7"/>
  <c r="H27" i="7" s="1"/>
  <c r="F20" i="17"/>
  <c r="H20" i="17" s="1"/>
  <c r="D22" i="8"/>
  <c r="F20" i="19"/>
  <c r="H20" i="19" s="1"/>
  <c r="B23" i="20"/>
  <c r="F15" i="17"/>
  <c r="H15" i="17" s="1"/>
  <c r="D19" i="7"/>
  <c r="B13" i="17"/>
  <c r="B10" i="3"/>
  <c r="H25" i="30"/>
  <c r="D27" i="12"/>
  <c r="B22" i="31"/>
  <c r="D10" i="18"/>
  <c r="D8" i="35"/>
  <c r="B14" i="14"/>
  <c r="F13" i="35"/>
  <c r="H13" i="35" s="1"/>
  <c r="F21" i="33"/>
  <c r="H21" i="33" s="1"/>
  <c r="D27" i="19"/>
  <c r="F23" i="23"/>
  <c r="H23" i="23" s="1"/>
  <c r="F17" i="12"/>
  <c r="H17" i="12" s="1"/>
  <c r="B8" i="35"/>
  <c r="B18" i="21"/>
  <c r="F21" i="29"/>
  <c r="H21" i="29" s="1"/>
  <c r="F11" i="21"/>
  <c r="H11" i="21" s="1"/>
  <c r="F22" i="11"/>
  <c r="H22" i="11" s="1"/>
  <c r="B12" i="1"/>
  <c r="F25" i="24"/>
  <c r="H25" i="24" s="1"/>
  <c r="F26" i="12"/>
  <c r="H26" i="12" s="1"/>
  <c r="B9" i="24"/>
  <c r="F24" i="21"/>
  <c r="H24" i="21" s="1"/>
  <c r="F25" i="33"/>
  <c r="H25" i="33" s="1"/>
  <c r="B10" i="33"/>
  <c r="D14" i="33"/>
  <c r="D9" i="18"/>
  <c r="B10" i="14"/>
  <c r="B11" i="7"/>
  <c r="B26" i="23"/>
  <c r="F9" i="15"/>
  <c r="H9" i="15" s="1"/>
  <c r="D19" i="16"/>
  <c r="B13" i="19"/>
  <c r="D10" i="31"/>
  <c r="D17" i="24"/>
  <c r="B23" i="35"/>
  <c r="D10" i="35"/>
  <c r="F22" i="7"/>
  <c r="H22" i="7" s="1"/>
  <c r="D23" i="7"/>
  <c r="F26" i="22"/>
  <c r="H26" i="22" s="1"/>
  <c r="F18" i="9"/>
  <c r="H18" i="9" s="1"/>
  <c r="F21" i="9"/>
  <c r="H21" i="9" s="1"/>
  <c r="F24" i="12"/>
  <c r="H24" i="12" s="1"/>
  <c r="F11" i="9"/>
  <c r="H11" i="9" s="1"/>
  <c r="B16" i="7"/>
  <c r="B25" i="3"/>
  <c r="D24" i="16"/>
  <c r="F11" i="14"/>
  <c r="H11" i="14" s="1"/>
  <c r="F18" i="3"/>
  <c r="H18" i="3" s="1"/>
  <c r="F17" i="4"/>
  <c r="H17" i="4" s="1"/>
  <c r="B11" i="14"/>
  <c r="B18" i="5"/>
  <c r="B14" i="7"/>
  <c r="F11" i="7"/>
  <c r="H11" i="7" s="1"/>
  <c r="F26" i="8"/>
  <c r="H26" i="8" s="1"/>
  <c r="B11" i="29"/>
  <c r="F13" i="6"/>
  <c r="H13" i="6" s="1"/>
  <c r="B20" i="5"/>
  <c r="F16" i="8"/>
  <c r="H16" i="8" s="1"/>
  <c r="F25" i="23"/>
  <c r="H25" i="23" s="1"/>
  <c r="F26" i="19"/>
  <c r="H26" i="19" s="1"/>
  <c r="D23" i="33"/>
  <c r="B25" i="35"/>
  <c r="D24" i="15"/>
  <c r="D23" i="12"/>
  <c r="B25" i="18"/>
  <c r="F14" i="33"/>
  <c r="H14" i="33" s="1"/>
  <c r="F26" i="14"/>
  <c r="H26" i="14" s="1"/>
  <c r="D15" i="35"/>
  <c r="D11" i="12"/>
  <c r="F9" i="8"/>
  <c r="H9" i="8" s="1"/>
  <c r="B15" i="19"/>
  <c r="F12" i="35"/>
  <c r="H12" i="35" s="1"/>
  <c r="B21" i="12"/>
  <c r="D18" i="29"/>
  <c r="D20" i="33"/>
  <c r="D13" i="24"/>
  <c r="B24" i="18"/>
  <c r="D18" i="31"/>
  <c r="F11" i="16"/>
  <c r="H11" i="16" s="1"/>
  <c r="B13" i="6"/>
  <c r="F26" i="4"/>
  <c r="H26" i="4" s="1"/>
  <c r="B19" i="1"/>
  <c r="B13" i="5"/>
  <c r="D16" i="20"/>
  <c r="F11" i="24"/>
  <c r="H11" i="24" s="1"/>
  <c r="F16" i="1"/>
  <c r="H16" i="1" s="1"/>
  <c r="B22" i="9"/>
  <c r="F27" i="10"/>
  <c r="H27" i="10" s="1"/>
  <c r="D18" i="14"/>
  <c r="B23" i="10"/>
  <c r="D18" i="9"/>
  <c r="F17" i="22"/>
  <c r="H17" i="22" s="1"/>
  <c r="D25" i="8"/>
  <c r="B25" i="6"/>
  <c r="F16" i="4"/>
  <c r="H16" i="4" s="1"/>
  <c r="D18" i="1"/>
  <c r="B13" i="24"/>
  <c r="F17" i="10"/>
  <c r="H17" i="10" s="1"/>
  <c r="F9" i="7"/>
  <c r="H9" i="7" s="1"/>
  <c r="D27" i="8"/>
  <c r="D16" i="7"/>
  <c r="F14" i="14"/>
  <c r="H14" i="14" s="1"/>
  <c r="B20" i="10"/>
  <c r="F19" i="12"/>
  <c r="H19" i="12" s="1"/>
  <c r="F18" i="8"/>
  <c r="H18" i="8" s="1"/>
  <c r="B20" i="3"/>
  <c r="D14" i="19"/>
  <c r="F10" i="20"/>
  <c r="H10" i="20" s="1"/>
  <c r="D16" i="9"/>
  <c r="D21" i="29"/>
  <c r="F18" i="33"/>
  <c r="H18" i="33" s="1"/>
  <c r="B26" i="21"/>
  <c r="F21" i="22"/>
  <c r="H21" i="22" s="1"/>
  <c r="D26" i="19"/>
  <c r="F14" i="22"/>
  <c r="H14" i="22" s="1"/>
  <c r="F10" i="35"/>
  <c r="H10" i="35" s="1"/>
  <c r="F13" i="4"/>
  <c r="H13" i="4" s="1"/>
  <c r="F14" i="16"/>
  <c r="H14" i="16" s="1"/>
  <c r="D25" i="24"/>
  <c r="B20" i="16"/>
  <c r="D22" i="29"/>
  <c r="D27" i="33"/>
  <c r="B25" i="11"/>
  <c r="B15" i="18"/>
  <c r="B27" i="29"/>
  <c r="B24" i="21"/>
  <c r="B27" i="14"/>
  <c r="D24" i="14"/>
  <c r="B24" i="1"/>
  <c r="F26" i="9"/>
  <c r="H26" i="9" s="1"/>
  <c r="B9" i="20"/>
  <c r="F15" i="23"/>
  <c r="H15" i="23" s="1"/>
  <c r="F10" i="22"/>
  <c r="H10" i="22" s="1"/>
  <c r="B20" i="12"/>
  <c r="H15" i="30"/>
  <c r="D9" i="19"/>
  <c r="B18" i="6"/>
  <c r="B16" i="18"/>
  <c r="F14" i="3"/>
  <c r="H14" i="3" s="1"/>
  <c r="B20" i="24"/>
  <c r="B13" i="31"/>
  <c r="D25" i="19"/>
  <c r="B28" i="1"/>
  <c r="D24" i="18"/>
  <c r="D19" i="31"/>
  <c r="F13" i="23"/>
  <c r="H13" i="23" s="1"/>
  <c r="F9" i="31"/>
  <c r="H9" i="31" s="1"/>
  <c r="F14" i="24"/>
  <c r="H14" i="24" s="1"/>
  <c r="F20" i="33"/>
  <c r="H20" i="33" s="1"/>
  <c r="D12" i="20"/>
  <c r="B18" i="15"/>
  <c r="F16" i="6"/>
  <c r="H16" i="6" s="1"/>
  <c r="D13" i="19"/>
  <c r="F22" i="9"/>
  <c r="H22" i="9" s="1"/>
  <c r="F16" i="5"/>
  <c r="H16" i="5" s="1"/>
  <c r="B22" i="6"/>
  <c r="F18" i="14"/>
  <c r="H18" i="14" s="1"/>
  <c r="F13" i="9"/>
  <c r="H13" i="9" s="1"/>
  <c r="F22" i="5"/>
  <c r="H22" i="5" s="1"/>
  <c r="B13" i="7"/>
  <c r="F10" i="3"/>
  <c r="H10" i="3" s="1"/>
  <c r="D20" i="1"/>
  <c r="D21" i="12"/>
  <c r="B23" i="18"/>
  <c r="B23" i="29"/>
  <c r="B13" i="22"/>
  <c r="F25" i="7"/>
  <c r="H25" i="7" s="1"/>
  <c r="D9" i="11"/>
  <c r="H12" i="30"/>
  <c r="F22" i="20"/>
  <c r="H22" i="20" s="1"/>
  <c r="B23" i="6"/>
  <c r="B12" i="33"/>
  <c r="D18" i="18"/>
  <c r="D22" i="31"/>
  <c r="D24" i="7"/>
  <c r="B27" i="7"/>
  <c r="F21" i="4"/>
  <c r="H21" i="4" s="1"/>
  <c r="B21" i="15"/>
  <c r="D22" i="12"/>
  <c r="D22" i="21"/>
  <c r="B24" i="12"/>
  <c r="B22" i="7"/>
  <c r="D10" i="14"/>
  <c r="F16" i="17"/>
  <c r="H16" i="17" s="1"/>
  <c r="F23" i="10"/>
  <c r="H23" i="10" s="1"/>
  <c r="B13" i="9"/>
  <c r="B9" i="10"/>
  <c r="F11" i="8"/>
  <c r="H11" i="8" s="1"/>
  <c r="B11" i="24"/>
  <c r="D24" i="1"/>
  <c r="F16" i="7"/>
  <c r="H16" i="7" s="1"/>
  <c r="D27" i="15"/>
  <c r="F21" i="19"/>
  <c r="H21" i="19" s="1"/>
  <c r="F10" i="8"/>
  <c r="H10" i="8" s="1"/>
  <c r="D14" i="23"/>
  <c r="D12" i="21"/>
  <c r="B10" i="10"/>
  <c r="D14" i="29"/>
  <c r="F25" i="19"/>
  <c r="H25" i="19" s="1"/>
  <c r="F16" i="31"/>
  <c r="H16" i="31" s="1"/>
  <c r="D13" i="18"/>
  <c r="B24" i="3"/>
  <c r="D14" i="10"/>
  <c r="D21" i="22"/>
  <c r="B13" i="1"/>
  <c r="B12" i="18"/>
  <c r="F15" i="5"/>
  <c r="H15" i="5" s="1"/>
  <c r="B10" i="11"/>
  <c r="F12" i="14"/>
  <c r="H12" i="14" s="1"/>
  <c r="F24" i="31"/>
  <c r="H24" i="31" s="1"/>
  <c r="F9" i="22"/>
  <c r="H9" i="22" s="1"/>
  <c r="F27" i="35"/>
  <c r="H27" i="35" s="1"/>
  <c r="D23" i="29"/>
  <c r="B25" i="24"/>
  <c r="D23" i="24"/>
  <c r="D26" i="23"/>
  <c r="B24" i="17"/>
  <c r="F22" i="3"/>
  <c r="H22" i="3" s="1"/>
  <c r="D10" i="24"/>
  <c r="D27" i="29"/>
  <c r="D27" i="24"/>
  <c r="D20" i="31"/>
  <c r="B24" i="15"/>
  <c r="B19" i="14"/>
  <c r="D25" i="15"/>
  <c r="F14" i="18"/>
  <c r="H14" i="18" s="1"/>
  <c r="B25" i="4"/>
  <c r="D25" i="22"/>
  <c r="D14" i="11"/>
  <c r="D11" i="16"/>
  <c r="F22" i="4"/>
  <c r="H22" i="4" s="1"/>
  <c r="B11" i="20"/>
  <c r="F26" i="1"/>
  <c r="H26" i="1" s="1"/>
  <c r="B20" i="21"/>
  <c r="B11" i="10"/>
  <c r="B11" i="18"/>
  <c r="F22" i="6"/>
  <c r="H22" i="6" s="1"/>
  <c r="D24" i="23"/>
  <c r="B18" i="33"/>
  <c r="B23" i="12"/>
  <c r="B24" i="9"/>
  <c r="D17" i="35"/>
  <c r="B18" i="8"/>
  <c r="F14" i="8"/>
  <c r="H14" i="8" s="1"/>
  <c r="B23" i="8"/>
  <c r="B27" i="18"/>
  <c r="D9" i="20"/>
  <c r="D14" i="7"/>
  <c r="D10" i="7"/>
  <c r="B21" i="17"/>
  <c r="B25" i="22"/>
  <c r="B13" i="11"/>
  <c r="F15" i="16"/>
  <c r="H15" i="16" s="1"/>
  <c r="D23" i="8"/>
  <c r="F17" i="29"/>
  <c r="H17" i="29" s="1"/>
  <c r="D24" i="20"/>
  <c r="F19" i="14"/>
  <c r="H19" i="14" s="1"/>
  <c r="D17" i="10"/>
  <c r="D10" i="12"/>
  <c r="D21" i="8"/>
  <c r="F10" i="14"/>
  <c r="H10" i="14" s="1"/>
  <c r="B15" i="20"/>
  <c r="B25" i="20"/>
  <c r="D19" i="23"/>
  <c r="F25" i="16"/>
  <c r="H25" i="16" s="1"/>
  <c r="F14" i="31"/>
  <c r="H14" i="31" s="1"/>
  <c r="D25" i="35"/>
  <c r="F23" i="33"/>
  <c r="H23" i="33" s="1"/>
  <c r="D23" i="35"/>
  <c r="B16" i="6"/>
  <c r="F18" i="7"/>
  <c r="H18" i="7" s="1"/>
  <c r="F11" i="6"/>
  <c r="H11" i="6" s="1"/>
  <c r="D22" i="22"/>
  <c r="B14" i="20"/>
  <c r="B26" i="6"/>
  <c r="B22" i="16"/>
  <c r="D17" i="9"/>
  <c r="B23" i="3"/>
  <c r="B24" i="11"/>
  <c r="B14" i="10"/>
  <c r="B20" i="9"/>
  <c r="F13" i="24"/>
  <c r="H13" i="24" s="1"/>
  <c r="F20" i="15"/>
  <c r="H20" i="15" s="1"/>
  <c r="B22" i="15"/>
  <c r="D12" i="18"/>
  <c r="B24" i="16"/>
  <c r="F17" i="7"/>
  <c r="H17" i="7" s="1"/>
  <c r="F27" i="5"/>
  <c r="H27" i="5" s="1"/>
  <c r="D21" i="7"/>
  <c r="F11" i="4"/>
  <c r="H11" i="4" s="1"/>
  <c r="D21" i="11"/>
  <c r="B26" i="7"/>
  <c r="B12" i="30"/>
  <c r="B14" i="9"/>
  <c r="D17" i="1"/>
  <c r="F13" i="7"/>
  <c r="H13" i="7" s="1"/>
  <c r="F17" i="11"/>
  <c r="H17" i="11" s="1"/>
  <c r="F23" i="11"/>
  <c r="H23" i="11" s="1"/>
  <c r="F12" i="3"/>
  <c r="H12" i="3" s="1"/>
  <c r="F25" i="17"/>
  <c r="H25" i="17" s="1"/>
  <c r="B24" i="5"/>
  <c r="D12" i="10"/>
  <c r="F17" i="20"/>
  <c r="H17" i="20" s="1"/>
  <c r="D27" i="14"/>
  <c r="D27" i="31"/>
  <c r="D19" i="24"/>
  <c r="D21" i="9"/>
  <c r="F18" i="17"/>
  <c r="H18" i="17" s="1"/>
  <c r="F24" i="7"/>
  <c r="H24" i="7" s="1"/>
  <c r="F16" i="3"/>
  <c r="H16" i="3" s="1"/>
  <c r="D10" i="11"/>
  <c r="F27" i="19"/>
  <c r="H27" i="19" s="1"/>
  <c r="B14" i="17"/>
  <c r="F21" i="14"/>
  <c r="H21" i="14" s="1"/>
  <c r="B22" i="14"/>
  <c r="B27" i="21"/>
  <c r="D15" i="15"/>
  <c r="B18" i="11"/>
  <c r="D26" i="8"/>
  <c r="B14" i="12"/>
  <c r="F26" i="35"/>
  <c r="H26" i="35" s="1"/>
  <c r="D19" i="22"/>
  <c r="F21" i="18"/>
  <c r="H21" i="18" s="1"/>
  <c r="F23" i="7"/>
  <c r="H23" i="7" s="1"/>
  <c r="F21" i="11"/>
  <c r="H21" i="11" s="1"/>
  <c r="B21" i="5"/>
  <c r="B25" i="8"/>
  <c r="B10" i="6"/>
  <c r="F17" i="14"/>
  <c r="H17" i="14" s="1"/>
  <c r="D16" i="35"/>
  <c r="D14" i="24"/>
  <c r="B16" i="15"/>
  <c r="B11" i="11"/>
  <c r="D26" i="31"/>
  <c r="B26" i="15"/>
  <c r="F26" i="6"/>
  <c r="H26" i="6" s="1"/>
  <c r="B8" i="22"/>
  <c r="B17" i="22"/>
  <c r="B10" i="18"/>
  <c r="H13" i="30"/>
  <c r="F13" i="8"/>
  <c r="H13" i="8" s="1"/>
  <c r="F26" i="10"/>
  <c r="H26" i="10" s="1"/>
  <c r="F19" i="15"/>
  <c r="H19" i="15" s="1"/>
  <c r="F24" i="10"/>
  <c r="H24" i="10" s="1"/>
  <c r="B11" i="17"/>
  <c r="F22" i="10"/>
  <c r="H22" i="10" s="1"/>
  <c r="F10" i="23"/>
  <c r="H10" i="23" s="1"/>
  <c r="F22" i="16"/>
  <c r="H22" i="16" s="1"/>
  <c r="D21" i="21"/>
  <c r="D18" i="12"/>
  <c r="D21" i="33"/>
  <c r="B27" i="19"/>
  <c r="B17" i="14"/>
  <c r="H17" i="30"/>
  <c r="B26" i="31"/>
  <c r="F16" i="20"/>
  <c r="H16" i="20" s="1"/>
  <c r="B10" i="8"/>
  <c r="D9" i="7"/>
  <c r="F25" i="22"/>
  <c r="H25" i="22" s="1"/>
  <c r="D20" i="7"/>
  <c r="B23" i="9"/>
  <c r="F23" i="5"/>
  <c r="H23" i="5" s="1"/>
  <c r="B19" i="7"/>
  <c r="F25" i="6"/>
  <c r="H25" i="6" s="1"/>
  <c r="B25" i="9"/>
  <c r="B12" i="6"/>
  <c r="B11" i="8"/>
  <c r="F26" i="21"/>
  <c r="H26" i="21" s="1"/>
  <c r="B22" i="35"/>
  <c r="B27" i="22"/>
  <c r="B19" i="17"/>
  <c r="F10" i="19"/>
  <c r="H10" i="19" s="1"/>
  <c r="B19" i="11"/>
  <c r="B10" i="23"/>
  <c r="F12" i="1"/>
  <c r="H12" i="1" s="1"/>
  <c r="B22" i="10"/>
  <c r="D15" i="8"/>
  <c r="D12" i="11"/>
  <c r="F15" i="10"/>
  <c r="H15" i="10" s="1"/>
  <c r="F23" i="20"/>
  <c r="H23" i="20" s="1"/>
  <c r="F21" i="12"/>
  <c r="H21" i="12" s="1"/>
  <c r="B25" i="14"/>
  <c r="F13" i="29"/>
  <c r="H13" i="29" s="1"/>
  <c r="B26" i="4"/>
  <c r="F19" i="21"/>
  <c r="H19" i="21" s="1"/>
  <c r="F12" i="24"/>
  <c r="H12" i="24" s="1"/>
  <c r="D11" i="23"/>
  <c r="F20" i="21"/>
  <c r="H20" i="21" s="1"/>
  <c r="F23" i="17"/>
  <c r="H23" i="17" s="1"/>
  <c r="H27" i="30"/>
  <c r="B10" i="21"/>
  <c r="F24" i="11"/>
  <c r="H24" i="11" s="1"/>
  <c r="B12" i="9"/>
  <c r="F26" i="29"/>
  <c r="H26" i="29" s="1"/>
  <c r="B20" i="6"/>
  <c r="B15" i="22"/>
  <c r="D13" i="10"/>
  <c r="F18" i="10"/>
  <c r="H18" i="10" s="1"/>
  <c r="F9" i="35"/>
  <c r="H9" i="35" s="1"/>
  <c r="D13" i="33"/>
  <c r="D11" i="24"/>
  <c r="F22" i="23"/>
  <c r="H22" i="23" s="1"/>
  <c r="F14" i="12"/>
  <c r="H14" i="12" s="1"/>
  <c r="F27" i="17"/>
  <c r="H27" i="17" s="1"/>
  <c r="B22" i="4"/>
  <c r="D9" i="22"/>
  <c r="B15" i="17"/>
  <c r="F11" i="11"/>
  <c r="H11" i="11" s="1"/>
  <c r="D21" i="20"/>
  <c r="D12" i="31"/>
  <c r="B13" i="30"/>
  <c r="B10" i="9"/>
  <c r="D17" i="7"/>
  <c r="D11" i="9"/>
  <c r="D23" i="10"/>
  <c r="F9" i="9"/>
  <c r="H9" i="9" s="1"/>
  <c r="B16" i="3"/>
  <c r="F13" i="18"/>
  <c r="H13" i="18" s="1"/>
  <c r="B21" i="31"/>
  <c r="F14" i="9"/>
  <c r="H14" i="9" s="1"/>
  <c r="B15" i="11"/>
  <c r="B16" i="20"/>
  <c r="F10" i="15"/>
  <c r="H10" i="15" s="1"/>
  <c r="B16" i="11"/>
  <c r="B21" i="18"/>
  <c r="B21" i="23"/>
  <c r="F14" i="1"/>
  <c r="H14" i="1" s="1"/>
  <c r="D17" i="16"/>
  <c r="F17" i="1"/>
  <c r="H17" i="1" s="1"/>
  <c r="F9" i="17"/>
  <c r="H9" i="17" s="1"/>
  <c r="D25" i="6"/>
  <c r="D22" i="3"/>
  <c r="D20" i="30"/>
  <c r="D19" i="5"/>
  <c r="D18" i="3"/>
  <c r="D26" i="6"/>
  <c r="D21" i="3"/>
  <c r="D19" i="4"/>
  <c r="D11" i="17"/>
  <c r="D25" i="5"/>
  <c r="D24" i="6"/>
  <c r="D21" i="30"/>
  <c r="D10" i="30"/>
  <c r="D22" i="5"/>
  <c r="D21" i="17"/>
  <c r="D11" i="6"/>
  <c r="D22" i="17"/>
  <c r="D10" i="5"/>
  <c r="D19" i="30"/>
  <c r="D27" i="5"/>
  <c r="D17" i="6"/>
  <c r="D21" i="6"/>
  <c r="D20" i="6"/>
  <c r="D23" i="6"/>
  <c r="D17" i="5"/>
  <c r="D25" i="30"/>
  <c r="D27" i="4"/>
  <c r="D10" i="4"/>
  <c r="D26" i="5"/>
  <c r="D20" i="17"/>
  <c r="D17" i="17"/>
  <c r="D26" i="4"/>
  <c r="D22" i="4"/>
  <c r="D26" i="3"/>
  <c r="D18" i="6"/>
  <c r="D17" i="30"/>
  <c r="D17" i="4"/>
  <c r="D20" i="3"/>
  <c r="D21" i="5"/>
  <c r="D11" i="30"/>
  <c r="D23" i="5"/>
  <c r="D23" i="4"/>
  <c r="D11" i="5"/>
  <c r="D26" i="17"/>
  <c r="D18" i="4"/>
  <c r="D22" i="6"/>
  <c r="D24" i="5"/>
  <c r="D27" i="6"/>
  <c r="D13" i="3"/>
  <c r="D24" i="4"/>
  <c r="D23" i="30"/>
  <c r="D25" i="17"/>
  <c r="D25" i="3"/>
  <c r="D19" i="3"/>
  <c r="D24" i="30"/>
  <c r="D18" i="17"/>
  <c r="D22" i="30"/>
  <c r="D24" i="3"/>
  <c r="D19" i="6"/>
  <c r="D17" i="3"/>
  <c r="D12" i="3"/>
  <c r="D20" i="4"/>
  <c r="D27" i="30"/>
  <c r="D23" i="17"/>
  <c r="D19" i="17"/>
  <c r="D27" i="17"/>
  <c r="D27" i="3"/>
  <c r="D26" i="30"/>
  <c r="D11" i="4"/>
  <c r="D18" i="5"/>
  <c r="D11" i="3"/>
  <c r="D24" i="17"/>
  <c r="D21" i="4"/>
  <c r="D18" i="30"/>
  <c r="D10" i="3"/>
  <c r="D25" i="4"/>
  <c r="D20" i="5"/>
  <c r="D23" i="3"/>
  <c r="F2" i="2"/>
  <c r="C6" i="31" l="1"/>
  <c r="C3" i="31" s="1"/>
  <c r="E1" i="31" s="1"/>
  <c r="C6" i="12"/>
  <c r="C3" i="12" s="1"/>
  <c r="E1" i="12" s="1"/>
  <c r="C6" i="15"/>
  <c r="C3" i="15" s="1"/>
  <c r="C6" i="52"/>
  <c r="C3" i="52" s="1"/>
  <c r="C6" i="37"/>
  <c r="C3" i="37" s="1"/>
  <c r="C6" i="42"/>
  <c r="C3" i="42" s="1"/>
  <c r="C6" i="19"/>
  <c r="C3" i="19" s="1"/>
  <c r="C6" i="21"/>
  <c r="C3" i="21" s="1"/>
  <c r="C6" i="8"/>
  <c r="C3" i="8" s="1"/>
  <c r="C6" i="24"/>
  <c r="C3" i="24" s="1"/>
  <c r="C6" i="10"/>
  <c r="C3" i="10" s="1"/>
  <c r="C6" i="9"/>
  <c r="C3" i="9" s="1"/>
  <c r="C6" i="35"/>
  <c r="C3" i="35" s="1"/>
  <c r="C6" i="20"/>
  <c r="C3" i="20" s="1"/>
  <c r="C6" i="18"/>
  <c r="C3" i="18" s="1"/>
  <c r="C6" i="36"/>
  <c r="C3" i="36" s="1"/>
  <c r="C6" i="39"/>
  <c r="C3" i="39" s="1"/>
  <c r="C6" i="41"/>
  <c r="C3" i="41" s="1"/>
  <c r="C6" i="32"/>
  <c r="C3" i="32" s="1"/>
  <c r="C6" i="49"/>
  <c r="C3" i="49" s="1"/>
  <c r="C6" i="38"/>
  <c r="C3" i="38" s="1"/>
  <c r="C6" i="40"/>
  <c r="C3" i="40" s="1"/>
  <c r="C6" i="48"/>
  <c r="C3" i="48" s="1"/>
  <c r="C6" i="7"/>
  <c r="C3" i="7" s="1"/>
  <c r="C6" i="23"/>
  <c r="C3" i="23" s="1"/>
  <c r="C6" i="22"/>
  <c r="C3" i="22" s="1"/>
  <c r="C6" i="29"/>
  <c r="C3" i="29" s="1"/>
  <c r="C6" i="33"/>
  <c r="C3" i="33" s="1"/>
  <c r="C6" i="46"/>
  <c r="C3" i="46" s="1"/>
  <c r="C6" i="45"/>
  <c r="C3" i="45" s="1"/>
  <c r="H28" i="43"/>
  <c r="C6" i="43" s="1"/>
  <c r="C3" i="43" s="1"/>
  <c r="H29" i="36"/>
  <c r="H28" i="44"/>
  <c r="C6" i="44" s="1"/>
  <c r="C3" i="44" s="1"/>
  <c r="H29" i="52"/>
  <c r="H28" i="47"/>
  <c r="C6" i="47" s="1"/>
  <c r="C3" i="47" s="1"/>
  <c r="H29" i="42"/>
  <c r="H29" i="32"/>
  <c r="H29" i="49"/>
  <c r="H29" i="38"/>
  <c r="H29" i="48"/>
  <c r="H29" i="46"/>
  <c r="H29" i="45"/>
  <c r="H29" i="37"/>
  <c r="H29" i="1"/>
  <c r="C7" i="1" s="1"/>
  <c r="H29" i="31"/>
  <c r="H29" i="24"/>
  <c r="H29" i="23"/>
  <c r="H28" i="5"/>
  <c r="C6" i="5" s="1"/>
  <c r="C3" i="5" s="1"/>
  <c r="H29" i="12"/>
  <c r="H28" i="6"/>
  <c r="C6" i="6" s="1"/>
  <c r="C3" i="6" s="1"/>
  <c r="H28" i="11"/>
  <c r="C6" i="11" s="1"/>
  <c r="C3" i="11" s="1"/>
  <c r="H29" i="10"/>
  <c r="H29" i="29"/>
  <c r="H28" i="16"/>
  <c r="C6" i="16" s="1"/>
  <c r="C3" i="16" s="1"/>
  <c r="H29" i="18"/>
  <c r="H28" i="17"/>
  <c r="C6" i="17" s="1"/>
  <c r="C3" i="17" s="1"/>
  <c r="H29" i="15"/>
  <c r="H28" i="30"/>
  <c r="C6" i="30" s="1"/>
  <c r="C3" i="30" s="1"/>
  <c r="H29" i="35"/>
  <c r="H29" i="7"/>
  <c r="H29" i="8"/>
  <c r="H29" i="9"/>
  <c r="H28" i="3"/>
  <c r="C6" i="3" s="1"/>
  <c r="C3" i="3" s="1"/>
  <c r="H28" i="14"/>
  <c r="C6" i="14" s="1"/>
  <c r="C3" i="14" s="1"/>
  <c r="H29" i="19"/>
  <c r="H28" i="4"/>
  <c r="C6" i="4" s="1"/>
  <c r="C3" i="4" s="1"/>
  <c r="H29" i="33"/>
  <c r="H29" i="21"/>
  <c r="C3" i="1" l="1"/>
  <c r="L4" i="1"/>
  <c r="L9" i="1" s="1"/>
  <c r="G5" i="31"/>
  <c r="G6" i="31" s="1"/>
  <c r="G2" i="31"/>
  <c r="G3" i="31" s="1"/>
  <c r="G5" i="12"/>
  <c r="G6" i="12" s="1"/>
  <c r="G2" i="12"/>
  <c r="G3" i="12" s="1"/>
  <c r="G2" i="11"/>
  <c r="G3" i="11" s="1"/>
  <c r="G5" i="11"/>
  <c r="G6" i="11" s="1"/>
  <c r="E1" i="11"/>
  <c r="G2" i="44"/>
  <c r="G3" i="44" s="1"/>
  <c r="E1" i="44"/>
  <c r="G5" i="44"/>
  <c r="G6" i="44" s="1"/>
  <c r="G2" i="43"/>
  <c r="G3" i="43" s="1"/>
  <c r="G5" i="43"/>
  <c r="G6" i="43" s="1"/>
  <c r="E1" i="43"/>
  <c r="G2" i="14"/>
  <c r="G3" i="14" s="1"/>
  <c r="G5" i="14"/>
  <c r="G6" i="14" s="1"/>
  <c r="E1" i="14"/>
  <c r="G5" i="47"/>
  <c r="G6" i="47" s="1"/>
  <c r="E1" i="47"/>
  <c r="C89" i="25" s="1"/>
  <c r="G2" i="47"/>
  <c r="G3" i="47" s="1"/>
  <c r="E1" i="7"/>
  <c r="G2" i="7"/>
  <c r="G3" i="7" s="1"/>
  <c r="G5" i="7"/>
  <c r="G6" i="7" s="1"/>
  <c r="E1" i="36"/>
  <c r="G2" i="36"/>
  <c r="G3" i="36" s="1"/>
  <c r="G5" i="36"/>
  <c r="G6" i="36" s="1"/>
  <c r="G2" i="42"/>
  <c r="G3" i="42" s="1"/>
  <c r="E1" i="42"/>
  <c r="G5" i="42"/>
  <c r="G6" i="42" s="1"/>
  <c r="C20" i="25"/>
  <c r="G2" i="4"/>
  <c r="G3" i="4" s="1"/>
  <c r="E1" i="4"/>
  <c r="G5" i="4"/>
  <c r="G6" i="4" s="1"/>
  <c r="G5" i="6"/>
  <c r="G6" i="6" s="1"/>
  <c r="E1" i="6"/>
  <c r="G2" i="6"/>
  <c r="G3" i="6" s="1"/>
  <c r="G2" i="45"/>
  <c r="G3" i="45" s="1"/>
  <c r="G5" i="45"/>
  <c r="G6" i="45" s="1"/>
  <c r="E1" i="45"/>
  <c r="E1" i="22"/>
  <c r="G5" i="22"/>
  <c r="G6" i="22" s="1"/>
  <c r="G2" i="22"/>
  <c r="G3" i="22" s="1"/>
  <c r="G5" i="48"/>
  <c r="G6" i="48" s="1"/>
  <c r="E1" i="48"/>
  <c r="G2" i="48"/>
  <c r="G3" i="48" s="1"/>
  <c r="E1" i="32"/>
  <c r="G5" i="32"/>
  <c r="G6" i="32" s="1"/>
  <c r="G2" i="32"/>
  <c r="G3" i="32" s="1"/>
  <c r="G2" i="18"/>
  <c r="G3" i="18" s="1"/>
  <c r="E1" i="18"/>
  <c r="G5" i="18"/>
  <c r="G6" i="18" s="1"/>
  <c r="G5" i="10"/>
  <c r="G6" i="10" s="1"/>
  <c r="E1" i="10"/>
  <c r="G2" i="10"/>
  <c r="G3" i="10" s="1"/>
  <c r="E1" i="37"/>
  <c r="G5" i="37"/>
  <c r="G6" i="37" s="1"/>
  <c r="G2" i="37"/>
  <c r="G3" i="37" s="1"/>
  <c r="G5" i="15"/>
  <c r="G6" i="15" s="1"/>
  <c r="G2" i="15"/>
  <c r="G3" i="15" s="1"/>
  <c r="E1" i="15"/>
  <c r="G5" i="40"/>
  <c r="G6" i="40" s="1"/>
  <c r="E1" i="40"/>
  <c r="G2" i="40"/>
  <c r="G3" i="40" s="1"/>
  <c r="E1" i="41"/>
  <c r="G2" i="41"/>
  <c r="G3" i="41" s="1"/>
  <c r="G5" i="41"/>
  <c r="G6" i="41" s="1"/>
  <c r="G5" i="20"/>
  <c r="G6" i="20" s="1"/>
  <c r="E1" i="20"/>
  <c r="G2" i="20"/>
  <c r="G3" i="20" s="1"/>
  <c r="E1" i="21"/>
  <c r="G2" i="21"/>
  <c r="G3" i="21" s="1"/>
  <c r="G5" i="21"/>
  <c r="G6" i="21" s="1"/>
  <c r="G5" i="52"/>
  <c r="G6" i="52" s="1"/>
  <c r="E1" i="52"/>
  <c r="G2" i="52"/>
  <c r="G3" i="52" s="1"/>
  <c r="G2" i="3"/>
  <c r="G3" i="3" s="1"/>
  <c r="G5" i="3"/>
  <c r="G6" i="3" s="1"/>
  <c r="C11" i="25"/>
  <c r="E1" i="3"/>
  <c r="G5" i="29"/>
  <c r="G6" i="29" s="1"/>
  <c r="E1" i="29"/>
  <c r="G2" i="29"/>
  <c r="G3" i="29" s="1"/>
  <c r="G2" i="49"/>
  <c r="G3" i="49" s="1"/>
  <c r="G5" i="49"/>
  <c r="G6" i="49" s="1"/>
  <c r="E1" i="49"/>
  <c r="E1" i="9"/>
  <c r="G2" i="9"/>
  <c r="G3" i="9" s="1"/>
  <c r="G5" i="9"/>
  <c r="G6" i="9" s="1"/>
  <c r="G5" i="8"/>
  <c r="G6" i="8" s="1"/>
  <c r="E1" i="8"/>
  <c r="G2" i="8"/>
  <c r="G3" i="8" s="1"/>
  <c r="G5" i="16"/>
  <c r="G6" i="16" s="1"/>
  <c r="E1" i="16"/>
  <c r="G2" i="16"/>
  <c r="G3" i="16" s="1"/>
  <c r="G2" i="46"/>
  <c r="G3" i="46" s="1"/>
  <c r="G5" i="46"/>
  <c r="G6" i="46" s="1"/>
  <c r="E1" i="46"/>
  <c r="G2" i="17"/>
  <c r="G3" i="17" s="1"/>
  <c r="G5" i="17"/>
  <c r="G6" i="17" s="1"/>
  <c r="E1" i="17"/>
  <c r="C14" i="25"/>
  <c r="E14" i="25" s="1"/>
  <c r="G14" i="25" s="1"/>
  <c r="F14" i="25" s="1"/>
  <c r="G2" i="5"/>
  <c r="G3" i="5" s="1"/>
  <c r="E1" i="5"/>
  <c r="G5" i="5"/>
  <c r="G6" i="5" s="1"/>
  <c r="E1" i="1"/>
  <c r="G5" i="1"/>
  <c r="G7" i="1" s="1"/>
  <c r="G2" i="33"/>
  <c r="G3" i="33" s="1"/>
  <c r="G5" i="33"/>
  <c r="G6" i="33" s="1"/>
  <c r="E1" i="33"/>
  <c r="G2" i="23"/>
  <c r="G3" i="23" s="1"/>
  <c r="G5" i="23"/>
  <c r="G6" i="23" s="1"/>
  <c r="E1" i="23"/>
  <c r="G2" i="38"/>
  <c r="G3" i="38" s="1"/>
  <c r="G5" i="38"/>
  <c r="G6" i="38" s="1"/>
  <c r="E1" i="38"/>
  <c r="G5" i="39"/>
  <c r="G6" i="39" s="1"/>
  <c r="E1" i="39"/>
  <c r="G2" i="39"/>
  <c r="G3" i="39" s="1"/>
  <c r="G2" i="35"/>
  <c r="G3" i="35" s="1"/>
  <c r="G5" i="35"/>
  <c r="G6" i="35" s="1"/>
  <c r="E1" i="35"/>
  <c r="E1" i="24"/>
  <c r="G2" i="24"/>
  <c r="G3" i="24" s="1"/>
  <c r="G5" i="24"/>
  <c r="G6" i="24" s="1"/>
  <c r="G2" i="19"/>
  <c r="G3" i="19" s="1"/>
  <c r="E1" i="19"/>
  <c r="G5" i="19"/>
  <c r="G6" i="19" s="1"/>
  <c r="G2" i="30"/>
  <c r="G3" i="30" s="1"/>
  <c r="G5" i="30"/>
  <c r="G6" i="30" s="1"/>
  <c r="E1" i="30"/>
  <c r="C26" i="25"/>
  <c r="E26" i="25" s="1"/>
  <c r="C17" i="25"/>
  <c r="C10" i="25"/>
  <c r="C53" i="25"/>
  <c r="C56" i="25"/>
  <c r="E56" i="25" s="1"/>
  <c r="G56" i="25" s="1"/>
  <c r="C74" i="25"/>
  <c r="E74" i="25" s="1"/>
  <c r="G74" i="25" s="1"/>
  <c r="C54" i="25"/>
  <c r="E54" i="25" s="1"/>
  <c r="G54" i="25" s="1"/>
  <c r="F54" i="25" s="1"/>
  <c r="C57" i="25"/>
  <c r="E57" i="25" s="1"/>
  <c r="G57" i="25" s="1"/>
  <c r="F57" i="25" s="1"/>
  <c r="H56" i="25"/>
  <c r="C75" i="25"/>
  <c r="E75" i="25" s="1"/>
  <c r="G75" i="25" s="1"/>
  <c r="F75" i="25" s="1"/>
  <c r="C28" i="25"/>
  <c r="E28" i="25" s="1"/>
  <c r="G28" i="25" s="1"/>
  <c r="F28" i="25" s="1"/>
  <c r="C27" i="25"/>
  <c r="E27" i="25" s="1"/>
  <c r="G27" i="25" s="1"/>
  <c r="F27" i="25" s="1"/>
  <c r="C65" i="25"/>
  <c r="E65" i="25" s="1"/>
  <c r="G65" i="25" s="1"/>
  <c r="C83" i="25"/>
  <c r="E83" i="25" s="1"/>
  <c r="G83" i="25" s="1"/>
  <c r="C38" i="25"/>
  <c r="E38" i="25" s="1"/>
  <c r="G38" i="25" s="1"/>
  <c r="C71" i="25"/>
  <c r="C41" i="25"/>
  <c r="E41" i="25" s="1"/>
  <c r="G41" i="25" s="1"/>
  <c r="C59" i="25"/>
  <c r="E59" i="25" s="1"/>
  <c r="G59" i="25" s="1"/>
  <c r="C32" i="25"/>
  <c r="E32" i="25" s="1"/>
  <c r="G32" i="25" s="1"/>
  <c r="C50" i="25"/>
  <c r="E50" i="25" s="1"/>
  <c r="G50" i="25" s="1"/>
  <c r="C62" i="25"/>
  <c r="E62" i="25" s="1"/>
  <c r="G62" i="25" s="1"/>
  <c r="C77" i="25"/>
  <c r="C44" i="25"/>
  <c r="E44" i="25" s="1"/>
  <c r="G44" i="25" s="1"/>
  <c r="C29" i="25"/>
  <c r="E29" i="25" s="1"/>
  <c r="G29" i="25" s="1"/>
  <c r="C68" i="25"/>
  <c r="E68" i="25" s="1"/>
  <c r="G68" i="25" s="1"/>
  <c r="C86" i="25"/>
  <c r="E86" i="25" s="1"/>
  <c r="G86" i="25" s="1"/>
  <c r="C35" i="25"/>
  <c r="E35" i="25" s="1"/>
  <c r="G35" i="25" s="1"/>
  <c r="C47" i="25"/>
  <c r="E47" i="25" s="1"/>
  <c r="G47" i="25" s="1"/>
  <c r="C80" i="25"/>
  <c r="E80" i="25" s="1"/>
  <c r="G80" i="25" s="1"/>
  <c r="G2" i="1"/>
  <c r="G3" i="1" s="1"/>
  <c r="K17" i="1" l="1"/>
  <c r="M30" i="1"/>
  <c r="L25" i="1"/>
  <c r="C91" i="25"/>
  <c r="E91" i="25" s="1"/>
  <c r="G91" i="25" s="1"/>
  <c r="C90" i="25"/>
  <c r="E90" i="25" s="1"/>
  <c r="G90" i="25" s="1"/>
  <c r="E89" i="25"/>
  <c r="G89" i="25" s="1"/>
  <c r="G26" i="25"/>
  <c r="C18" i="25"/>
  <c r="E18" i="25" s="1"/>
  <c r="G18" i="25" s="1"/>
  <c r="F18" i="25" s="1"/>
  <c r="E17" i="25"/>
  <c r="E77" i="25"/>
  <c r="C22" i="25"/>
  <c r="E22" i="25" s="1"/>
  <c r="G22" i="25" s="1"/>
  <c r="F22" i="25" s="1"/>
  <c r="E20" i="25"/>
  <c r="H65" i="25"/>
  <c r="I65" i="25" s="1"/>
  <c r="C55" i="25"/>
  <c r="E55" i="25" s="1"/>
  <c r="G55" i="25" s="1"/>
  <c r="F55" i="25" s="1"/>
  <c r="E53" i="25"/>
  <c r="E11" i="25"/>
  <c r="F11" i="25" s="1"/>
  <c r="E71" i="25"/>
  <c r="C24" i="25"/>
  <c r="E24" i="25" s="1"/>
  <c r="G24" i="25" s="1"/>
  <c r="F24" i="25" s="1"/>
  <c r="E23" i="25"/>
  <c r="H74" i="25"/>
  <c r="I74" i="25" s="1"/>
  <c r="C21" i="25"/>
  <c r="E21" i="25" s="1"/>
  <c r="G21" i="25" s="1"/>
  <c r="F21" i="25" s="1"/>
  <c r="C19" i="25"/>
  <c r="C12" i="25"/>
  <c r="E12" i="25" s="1"/>
  <c r="C8" i="25"/>
  <c r="E8" i="25" s="1"/>
  <c r="C25" i="25"/>
  <c r="E25" i="25" s="1"/>
  <c r="G25" i="25" s="1"/>
  <c r="F25" i="25" s="1"/>
  <c r="C13" i="25"/>
  <c r="E13" i="25" s="1"/>
  <c r="G13" i="25" s="1"/>
  <c r="F13" i="25" s="1"/>
  <c r="C9" i="25"/>
  <c r="H80" i="25"/>
  <c r="H14" i="25"/>
  <c r="C69" i="25"/>
  <c r="H29" i="25"/>
  <c r="C45" i="25"/>
  <c r="E45" i="25" s="1"/>
  <c r="G45" i="25" s="1"/>
  <c r="F45" i="25" s="1"/>
  <c r="H44" i="25"/>
  <c r="H62" i="25"/>
  <c r="H50" i="25"/>
  <c r="H59" i="25"/>
  <c r="H38" i="25"/>
  <c r="H83" i="25"/>
  <c r="H27" i="25"/>
  <c r="J56" i="25"/>
  <c r="K56" i="25" s="1"/>
  <c r="I56" i="25"/>
  <c r="H57" i="25"/>
  <c r="C48" i="25"/>
  <c r="E48" i="25" s="1"/>
  <c r="G48" i="25" s="1"/>
  <c r="F48" i="25" s="1"/>
  <c r="H47" i="25"/>
  <c r="C36" i="25"/>
  <c r="E36" i="25" s="1"/>
  <c r="G36" i="25" s="1"/>
  <c r="F36" i="25" s="1"/>
  <c r="H35" i="25"/>
  <c r="H86" i="25"/>
  <c r="H32" i="25"/>
  <c r="H41" i="25"/>
  <c r="H28" i="25"/>
  <c r="C76" i="25"/>
  <c r="H75" i="25"/>
  <c r="H54" i="25"/>
  <c r="C16" i="25"/>
  <c r="E16" i="25" s="1"/>
  <c r="G16" i="25" s="1"/>
  <c r="F16" i="25" s="1"/>
  <c r="C15" i="25"/>
  <c r="E15" i="25" s="1"/>
  <c r="G15" i="25" s="1"/>
  <c r="F15" i="25" s="1"/>
  <c r="C34" i="25"/>
  <c r="E34" i="25" s="1"/>
  <c r="G34" i="25" s="1"/>
  <c r="F34" i="25" s="1"/>
  <c r="C33" i="25"/>
  <c r="E33" i="25" s="1"/>
  <c r="G33" i="25" s="1"/>
  <c r="F33" i="25" s="1"/>
  <c r="C73" i="25"/>
  <c r="C72" i="25"/>
  <c r="C40" i="25"/>
  <c r="E40" i="25" s="1"/>
  <c r="G40" i="25" s="1"/>
  <c r="F40" i="25" s="1"/>
  <c r="C39" i="25"/>
  <c r="E39" i="25" s="1"/>
  <c r="G39" i="25" s="1"/>
  <c r="F39" i="25" s="1"/>
  <c r="C82" i="25"/>
  <c r="E82" i="25" s="1"/>
  <c r="G82" i="25" s="1"/>
  <c r="F82" i="25" s="1"/>
  <c r="C81" i="25"/>
  <c r="E81" i="25" s="1"/>
  <c r="G81" i="25" s="1"/>
  <c r="F81" i="25" s="1"/>
  <c r="C88" i="25"/>
  <c r="E88" i="25" s="1"/>
  <c r="G88" i="25" s="1"/>
  <c r="F88" i="25" s="1"/>
  <c r="C87" i="25"/>
  <c r="E87" i="25" s="1"/>
  <c r="G87" i="25" s="1"/>
  <c r="F87" i="25" s="1"/>
  <c r="C64" i="25"/>
  <c r="E64" i="25" s="1"/>
  <c r="G64" i="25" s="1"/>
  <c r="F64" i="25" s="1"/>
  <c r="C63" i="25"/>
  <c r="E63" i="25" s="1"/>
  <c r="G63" i="25" s="1"/>
  <c r="F63" i="25" s="1"/>
  <c r="C52" i="25"/>
  <c r="E52" i="25" s="1"/>
  <c r="G52" i="25" s="1"/>
  <c r="F52" i="25" s="1"/>
  <c r="C51" i="25"/>
  <c r="E51" i="25" s="1"/>
  <c r="G51" i="25" s="1"/>
  <c r="F51" i="25" s="1"/>
  <c r="C61" i="25"/>
  <c r="E61" i="25" s="1"/>
  <c r="G61" i="25" s="1"/>
  <c r="F61" i="25" s="1"/>
  <c r="C60" i="25"/>
  <c r="E60" i="25" s="1"/>
  <c r="G60" i="25" s="1"/>
  <c r="F60" i="25" s="1"/>
  <c r="C84" i="25"/>
  <c r="E84" i="25" s="1"/>
  <c r="G84" i="25" s="1"/>
  <c r="F84" i="25" s="1"/>
  <c r="C85" i="25"/>
  <c r="E85" i="25" s="1"/>
  <c r="G85" i="25" s="1"/>
  <c r="F85" i="25" s="1"/>
  <c r="C37" i="25"/>
  <c r="E37" i="25" s="1"/>
  <c r="G37" i="25" s="1"/>
  <c r="F37" i="25" s="1"/>
  <c r="C58" i="25"/>
  <c r="E58" i="25" s="1"/>
  <c r="G58" i="25" s="1"/>
  <c r="F58" i="25" s="1"/>
  <c r="C70" i="25"/>
  <c r="C30" i="25"/>
  <c r="E30" i="25" s="1"/>
  <c r="G30" i="25" s="1"/>
  <c r="F30" i="25" s="1"/>
  <c r="C31" i="25"/>
  <c r="E31" i="25" s="1"/>
  <c r="G31" i="25" s="1"/>
  <c r="F31" i="25" s="1"/>
  <c r="C79" i="25"/>
  <c r="C78" i="25"/>
  <c r="C42" i="25"/>
  <c r="E42" i="25" s="1"/>
  <c r="G42" i="25" s="1"/>
  <c r="F42" i="25" s="1"/>
  <c r="C43" i="25"/>
  <c r="E43" i="25" s="1"/>
  <c r="G43" i="25" s="1"/>
  <c r="F43" i="25" s="1"/>
  <c r="C67" i="25"/>
  <c r="E67" i="25" s="1"/>
  <c r="G67" i="25" s="1"/>
  <c r="F67" i="25" s="1"/>
  <c r="C66" i="25"/>
  <c r="E66" i="25" s="1"/>
  <c r="G66" i="25" s="1"/>
  <c r="F66" i="25" s="1"/>
  <c r="N23" i="1" l="1"/>
  <c r="N19" i="1" s="1"/>
  <c r="K21" i="1" s="1"/>
  <c r="K25" i="1"/>
  <c r="M29" i="1"/>
  <c r="L24" i="1"/>
  <c r="L26" i="1"/>
  <c r="L23" i="1"/>
  <c r="F8" i="25"/>
  <c r="M5" i="25" s="1"/>
  <c r="E10" i="25"/>
  <c r="G10" i="25" s="1"/>
  <c r="E9" i="25"/>
  <c r="G9" i="25" s="1"/>
  <c r="H89" i="25"/>
  <c r="J89" i="25" s="1"/>
  <c r="K89" i="25" s="1"/>
  <c r="F90" i="25"/>
  <c r="H90" i="25"/>
  <c r="I90" i="25" s="1"/>
  <c r="F89" i="25"/>
  <c r="F91" i="25"/>
  <c r="H91" i="25"/>
  <c r="J91" i="25" s="1"/>
  <c r="K91" i="25" s="1"/>
  <c r="H24" i="25"/>
  <c r="H18" i="25"/>
  <c r="H13" i="25"/>
  <c r="J13" i="25" s="1"/>
  <c r="K13" i="25" s="1"/>
  <c r="H22" i="25"/>
  <c r="J22" i="25" s="1"/>
  <c r="K22" i="25" s="1"/>
  <c r="H25" i="25"/>
  <c r="H21" i="25"/>
  <c r="J21" i="25" s="1"/>
  <c r="K21" i="25" s="1"/>
  <c r="H55" i="25"/>
  <c r="G12" i="25"/>
  <c r="F12" i="25" s="1"/>
  <c r="G17" i="25"/>
  <c r="F17" i="25" s="1"/>
  <c r="G23" i="25"/>
  <c r="F23" i="25" s="1"/>
  <c r="G53" i="25"/>
  <c r="G20" i="25"/>
  <c r="F20" i="25" s="1"/>
  <c r="G71" i="25"/>
  <c r="J65" i="25"/>
  <c r="K65" i="25" s="1"/>
  <c r="G77" i="25"/>
  <c r="H26" i="25"/>
  <c r="H11" i="25"/>
  <c r="J11" i="25" s="1"/>
  <c r="K11" i="25" s="1"/>
  <c r="H66" i="25"/>
  <c r="J66" i="25" s="1"/>
  <c r="K66" i="25" s="1"/>
  <c r="E78" i="25"/>
  <c r="E70" i="25"/>
  <c r="G70" i="25" s="1"/>
  <c r="F70" i="25" s="1"/>
  <c r="H67" i="25"/>
  <c r="I67" i="25" s="1"/>
  <c r="E79" i="25"/>
  <c r="E72" i="25"/>
  <c r="E76" i="25"/>
  <c r="E69" i="25"/>
  <c r="E19" i="25"/>
  <c r="G19" i="25" s="1"/>
  <c r="F19" i="25" s="1"/>
  <c r="E73" i="25"/>
  <c r="J74" i="25"/>
  <c r="K74" i="25" s="1"/>
  <c r="H68" i="25"/>
  <c r="J68" i="25" s="1"/>
  <c r="K68" i="25" s="1"/>
  <c r="I75" i="25"/>
  <c r="J75" i="25"/>
  <c r="K75" i="25" s="1"/>
  <c r="H43" i="25"/>
  <c r="H31" i="25"/>
  <c r="H37" i="25"/>
  <c r="H84" i="25"/>
  <c r="H61" i="25"/>
  <c r="H52" i="25"/>
  <c r="H64" i="25"/>
  <c r="H88" i="25"/>
  <c r="H82" i="25"/>
  <c r="H40" i="25"/>
  <c r="H33" i="25"/>
  <c r="H15" i="25"/>
  <c r="J18" i="25"/>
  <c r="K18" i="25" s="1"/>
  <c r="I18" i="25"/>
  <c r="J86" i="25"/>
  <c r="K86" i="25" s="1"/>
  <c r="I86" i="25"/>
  <c r="C49" i="25"/>
  <c r="E49" i="25" s="1"/>
  <c r="G49" i="25" s="1"/>
  <c r="F49" i="25" s="1"/>
  <c r="H48" i="25"/>
  <c r="J24" i="25"/>
  <c r="K24" i="25" s="1"/>
  <c r="I24" i="25"/>
  <c r="J83" i="25"/>
  <c r="K83" i="25" s="1"/>
  <c r="I83" i="25"/>
  <c r="J59" i="25"/>
  <c r="K59" i="25" s="1"/>
  <c r="I59" i="25"/>
  <c r="J62" i="25"/>
  <c r="K62" i="25" s="1"/>
  <c r="I62" i="25"/>
  <c r="C46" i="25"/>
  <c r="E46" i="25" s="1"/>
  <c r="G46" i="25" s="1"/>
  <c r="F46" i="25" s="1"/>
  <c r="H45" i="25"/>
  <c r="J29" i="25"/>
  <c r="K29" i="25" s="1"/>
  <c r="I29" i="25"/>
  <c r="H42" i="25"/>
  <c r="H30" i="25"/>
  <c r="H58" i="25"/>
  <c r="H85" i="25"/>
  <c r="H60" i="25"/>
  <c r="H51" i="25"/>
  <c r="H63" i="25"/>
  <c r="H87" i="25"/>
  <c r="H81" i="25"/>
  <c r="H39" i="25"/>
  <c r="H34" i="25"/>
  <c r="H16" i="25"/>
  <c r="J54" i="25"/>
  <c r="K54" i="25" s="1"/>
  <c r="I54" i="25"/>
  <c r="J28" i="25"/>
  <c r="K28" i="25" s="1"/>
  <c r="I28" i="25"/>
  <c r="J41" i="25"/>
  <c r="K41" i="25" s="1"/>
  <c r="I41" i="25"/>
  <c r="J32" i="25"/>
  <c r="K32" i="25" s="1"/>
  <c r="I32" i="25"/>
  <c r="J35" i="25"/>
  <c r="K35" i="25" s="1"/>
  <c r="I35" i="25"/>
  <c r="H36" i="25"/>
  <c r="J47" i="25"/>
  <c r="K47" i="25" s="1"/>
  <c r="I47" i="25"/>
  <c r="J25" i="25"/>
  <c r="K25" i="25" s="1"/>
  <c r="I25" i="25"/>
  <c r="J55" i="25"/>
  <c r="K55" i="25" s="1"/>
  <c r="I55" i="25"/>
  <c r="J57" i="25"/>
  <c r="K57" i="25" s="1"/>
  <c r="I57" i="25"/>
  <c r="J27" i="25"/>
  <c r="K27" i="25" s="1"/>
  <c r="I27" i="25"/>
  <c r="J38" i="25"/>
  <c r="K38" i="25" s="1"/>
  <c r="I38" i="25"/>
  <c r="J50" i="25"/>
  <c r="K50" i="25" s="1"/>
  <c r="I50" i="25"/>
  <c r="J44" i="25"/>
  <c r="K44" i="25" s="1"/>
  <c r="I44" i="25"/>
  <c r="J14" i="25"/>
  <c r="K14" i="25" s="1"/>
  <c r="I14" i="25"/>
  <c r="J80" i="25"/>
  <c r="K80" i="25" s="1"/>
  <c r="I80" i="25"/>
  <c r="M32" i="1" l="1"/>
  <c r="M34" i="1" s="1"/>
  <c r="N34" i="1" s="1"/>
  <c r="M31" i="1"/>
  <c r="F9" i="25"/>
  <c r="H9" i="25"/>
  <c r="I9" i="25" s="1"/>
  <c r="I13" i="25"/>
  <c r="F10" i="25"/>
  <c r="H10" i="25"/>
  <c r="J10" i="25" s="1"/>
  <c r="K10" i="25" s="1"/>
  <c r="I91" i="25"/>
  <c r="J90" i="25"/>
  <c r="K90" i="25" s="1"/>
  <c r="I89" i="25"/>
  <c r="I21" i="25"/>
  <c r="I22" i="25"/>
  <c r="G73" i="25"/>
  <c r="F73" i="25" s="1"/>
  <c r="G72" i="25"/>
  <c r="F72" i="25" s="1"/>
  <c r="G78" i="25"/>
  <c r="F78" i="25" s="1"/>
  <c r="H71" i="25"/>
  <c r="I71" i="25" s="1"/>
  <c r="H53" i="25"/>
  <c r="I53" i="25" s="1"/>
  <c r="H17" i="25"/>
  <c r="I17" i="25" s="1"/>
  <c r="G76" i="25"/>
  <c r="F76" i="25" s="1"/>
  <c r="J26" i="25"/>
  <c r="K26" i="25" s="1"/>
  <c r="I26" i="25"/>
  <c r="G79" i="25"/>
  <c r="F79" i="25" s="1"/>
  <c r="H77" i="25"/>
  <c r="H70" i="25"/>
  <c r="J70" i="25" s="1"/>
  <c r="K70" i="25" s="1"/>
  <c r="G69" i="25"/>
  <c r="F69" i="25" s="1"/>
  <c r="H20" i="25"/>
  <c r="J20" i="25" s="1"/>
  <c r="K20" i="25" s="1"/>
  <c r="H23" i="25"/>
  <c r="I23" i="25" s="1"/>
  <c r="H12" i="25"/>
  <c r="J67" i="25"/>
  <c r="K67" i="25" s="1"/>
  <c r="I66" i="25"/>
  <c r="H19" i="25"/>
  <c r="J19" i="25" s="1"/>
  <c r="K19" i="25" s="1"/>
  <c r="I11" i="25"/>
  <c r="I68" i="25"/>
  <c r="H8" i="25"/>
  <c r="J87" i="25"/>
  <c r="K87" i="25" s="1"/>
  <c r="I87" i="25"/>
  <c r="J42" i="25"/>
  <c r="K42" i="25" s="1"/>
  <c r="I42" i="25"/>
  <c r="H49" i="25"/>
  <c r="J36" i="25"/>
  <c r="K36" i="25" s="1"/>
  <c r="I36" i="25"/>
  <c r="J16" i="25"/>
  <c r="K16" i="25" s="1"/>
  <c r="I16" i="25"/>
  <c r="J34" i="25"/>
  <c r="K34" i="25" s="1"/>
  <c r="I34" i="25"/>
  <c r="J39" i="25"/>
  <c r="K39" i="25" s="1"/>
  <c r="I39" i="25"/>
  <c r="J81" i="25"/>
  <c r="K81" i="25" s="1"/>
  <c r="I81" i="25"/>
  <c r="J63" i="25"/>
  <c r="K63" i="25" s="1"/>
  <c r="I63" i="25"/>
  <c r="J51" i="25"/>
  <c r="K51" i="25" s="1"/>
  <c r="I51" i="25"/>
  <c r="J60" i="25"/>
  <c r="K60" i="25" s="1"/>
  <c r="I60" i="25"/>
  <c r="J85" i="25"/>
  <c r="K85" i="25" s="1"/>
  <c r="I85" i="25"/>
  <c r="J58" i="25"/>
  <c r="K58" i="25" s="1"/>
  <c r="I58" i="25"/>
  <c r="J30" i="25"/>
  <c r="K30" i="25" s="1"/>
  <c r="I30" i="25"/>
  <c r="J45" i="25"/>
  <c r="K45" i="25" s="1"/>
  <c r="I45" i="25"/>
  <c r="H46" i="25"/>
  <c r="J48" i="25"/>
  <c r="K48" i="25" s="1"/>
  <c r="I48" i="25"/>
  <c r="J15" i="25"/>
  <c r="K15" i="25" s="1"/>
  <c r="I15" i="25"/>
  <c r="J33" i="25"/>
  <c r="K33" i="25" s="1"/>
  <c r="I33" i="25"/>
  <c r="J40" i="25"/>
  <c r="K40" i="25" s="1"/>
  <c r="I40" i="25"/>
  <c r="J82" i="25"/>
  <c r="K82" i="25" s="1"/>
  <c r="I82" i="25"/>
  <c r="I88" i="25"/>
  <c r="J88" i="25"/>
  <c r="K88" i="25" s="1"/>
  <c r="J64" i="25"/>
  <c r="K64" i="25" s="1"/>
  <c r="I64" i="25"/>
  <c r="J52" i="25"/>
  <c r="K52" i="25" s="1"/>
  <c r="I52" i="25"/>
  <c r="J61" i="25"/>
  <c r="K61" i="25" s="1"/>
  <c r="I61" i="25"/>
  <c r="J84" i="25"/>
  <c r="K84" i="25" s="1"/>
  <c r="I84" i="25"/>
  <c r="J37" i="25"/>
  <c r="K37" i="25" s="1"/>
  <c r="I37" i="25"/>
  <c r="J31" i="25"/>
  <c r="K31" i="25" s="1"/>
  <c r="I31" i="25"/>
  <c r="J43" i="25"/>
  <c r="K43" i="25" s="1"/>
  <c r="I43" i="25"/>
  <c r="J9" i="25" l="1"/>
  <c r="K9" i="25" s="1"/>
  <c r="I10" i="25"/>
  <c r="I20" i="25"/>
  <c r="J71" i="25"/>
  <c r="K71" i="25" s="1"/>
  <c r="J23" i="25"/>
  <c r="K23" i="25" s="1"/>
  <c r="H79" i="25"/>
  <c r="I79" i="25" s="1"/>
  <c r="H72" i="25"/>
  <c r="J72" i="25" s="1"/>
  <c r="K72" i="25" s="1"/>
  <c r="J17" i="25"/>
  <c r="K17" i="25" s="1"/>
  <c r="I70" i="25"/>
  <c r="J53" i="25"/>
  <c r="K53" i="25" s="1"/>
  <c r="H76" i="25"/>
  <c r="J12" i="25"/>
  <c r="K12" i="25" s="1"/>
  <c r="I12" i="25"/>
  <c r="H69" i="25"/>
  <c r="I77" i="25"/>
  <c r="J77" i="25"/>
  <c r="K77" i="25" s="1"/>
  <c r="H78" i="25"/>
  <c r="H73" i="25"/>
  <c r="I19" i="25"/>
  <c r="I8" i="25"/>
  <c r="G6" i="25"/>
  <c r="J8" i="25"/>
  <c r="J46" i="25"/>
  <c r="K46" i="25" s="1"/>
  <c r="I46" i="25"/>
  <c r="J49" i="25"/>
  <c r="K49" i="25" s="1"/>
  <c r="I49" i="25"/>
  <c r="J79" i="25" l="1"/>
  <c r="K79" i="25" s="1"/>
  <c r="I69" i="25"/>
  <c r="J69" i="25"/>
  <c r="K69" i="25" s="1"/>
  <c r="H6" i="25"/>
  <c r="I6" i="25" s="1"/>
  <c r="J3" i="25" s="1"/>
  <c r="I78" i="25"/>
  <c r="J78" i="25"/>
  <c r="K78" i="25" s="1"/>
  <c r="I73" i="25"/>
  <c r="J73" i="25"/>
  <c r="K73" i="25" s="1"/>
  <c r="I76" i="25"/>
  <c r="J76" i="25"/>
  <c r="K76" i="25" s="1"/>
  <c r="I72" i="25"/>
  <c r="K8" i="25"/>
  <c r="J2" i="25" l="1"/>
  <c r="M3" i="25"/>
  <c r="M4" i="25" s="1"/>
  <c r="N4" i="25" s="1"/>
  <c r="J6" i="25"/>
  <c r="K6" i="25" s="1"/>
</calcChain>
</file>

<file path=xl/sharedStrings.xml><?xml version="1.0" encoding="utf-8"?>
<sst xmlns="http://schemas.openxmlformats.org/spreadsheetml/2006/main" count="1339" uniqueCount="343">
  <si>
    <t>Cod</t>
  </si>
  <si>
    <t>Preço</t>
  </si>
  <si>
    <t>Preço por(g)</t>
  </si>
  <si>
    <t>unidade</t>
  </si>
  <si>
    <t>g</t>
  </si>
  <si>
    <t>cod Prod</t>
  </si>
  <si>
    <t>unid</t>
  </si>
  <si>
    <t>valor $</t>
  </si>
  <si>
    <t>quantiadade</t>
  </si>
  <si>
    <t>Descrição ingredientes</t>
  </si>
  <si>
    <t>Descrição do Produto</t>
  </si>
  <si>
    <t>Gasto Total</t>
  </si>
  <si>
    <t>Pera</t>
  </si>
  <si>
    <t>Maçã</t>
  </si>
  <si>
    <t>Ovos Branco</t>
  </si>
  <si>
    <t>Óleo de coco</t>
  </si>
  <si>
    <t>Uva Passas</t>
  </si>
  <si>
    <t>Vinagre de maçã</t>
  </si>
  <si>
    <t>Leite Desnatado</t>
  </si>
  <si>
    <t>Whey Protein</t>
  </si>
  <si>
    <t>Iogurte natural</t>
  </si>
  <si>
    <t>Leite de coco</t>
  </si>
  <si>
    <t>Sal</t>
  </si>
  <si>
    <t>Tomate</t>
  </si>
  <si>
    <t>Pimenta do reino</t>
  </si>
  <si>
    <t>Mel</t>
  </si>
  <si>
    <t>Milho</t>
  </si>
  <si>
    <t>Salsa</t>
  </si>
  <si>
    <t>Palmito</t>
  </si>
  <si>
    <t>Macaxeira</t>
  </si>
  <si>
    <t>Queijo Minas</t>
  </si>
  <si>
    <t>u</t>
  </si>
  <si>
    <t>L</t>
  </si>
  <si>
    <t>CÓDIGO</t>
  </si>
  <si>
    <t>Nome do Produto</t>
  </si>
  <si>
    <t>cravo da india</t>
  </si>
  <si>
    <t>ml</t>
  </si>
  <si>
    <t>embalagem caldo 350ml</t>
  </si>
  <si>
    <t>embalagem panqueca ga08</t>
  </si>
  <si>
    <t>garrafa de suco</t>
  </si>
  <si>
    <t>sucralose</t>
  </si>
  <si>
    <t>kg</t>
  </si>
  <si>
    <t>creme de leite piracanjuba</t>
  </si>
  <si>
    <t>creme de leite italac 17%</t>
  </si>
  <si>
    <t xml:space="preserve">fermento biologico </t>
  </si>
  <si>
    <t>coco flococo</t>
  </si>
  <si>
    <t>coco fino</t>
  </si>
  <si>
    <t>xilitol</t>
  </si>
  <si>
    <t>farinha de amendoas</t>
  </si>
  <si>
    <t>forminha de brigadeiro</t>
  </si>
  <si>
    <t>embalagem bolo de pote</t>
  </si>
  <si>
    <t>MIRTILO</t>
  </si>
  <si>
    <t>MORANGO</t>
  </si>
  <si>
    <t>Manteiga GHEE</t>
  </si>
  <si>
    <t>U</t>
  </si>
  <si>
    <t>embalagem redonda g640</t>
  </si>
  <si>
    <t>embalagem GALVANOTEC G14</t>
  </si>
  <si>
    <t>embalagem GALVANOTEC G645</t>
  </si>
  <si>
    <t>EMBALAGEM GALVANOTEC 650</t>
  </si>
  <si>
    <t>SACO PASCOA 24X24</t>
  </si>
  <si>
    <t>SACO PASCOA 32X32</t>
  </si>
  <si>
    <t>GALVANATEC G679</t>
  </si>
  <si>
    <t>GALVANATEC G742</t>
  </si>
  <si>
    <t>LATA PALHA ITALIANA</t>
  </si>
  <si>
    <t>CAIXA OVO 100G</t>
  </si>
  <si>
    <t>CAIXA MEIO OVO 100G</t>
  </si>
  <si>
    <t>CHOCOLATE 70%</t>
  </si>
  <si>
    <t>KG</t>
  </si>
  <si>
    <t xml:space="preserve">caixa ovo duplo </t>
  </si>
  <si>
    <t>caixa ovo trio</t>
  </si>
  <si>
    <t>trio ovo kids</t>
  </si>
  <si>
    <t>tnt estampado</t>
  </si>
  <si>
    <t>coelho pelucia</t>
  </si>
  <si>
    <t>fita espuma</t>
  </si>
  <si>
    <t>kit de bico</t>
  </si>
  <si>
    <t>folha chumbo</t>
  </si>
  <si>
    <t>suporte ovos</t>
  </si>
  <si>
    <t>panelinha</t>
  </si>
  <si>
    <t>pc</t>
  </si>
  <si>
    <t>cx encanto</t>
  </si>
  <si>
    <t>gelatina sem sabor</t>
  </si>
  <si>
    <t xml:space="preserve">sacola papel </t>
  </si>
  <si>
    <t>pct</t>
  </si>
  <si>
    <t>cx gourmet ovo</t>
  </si>
  <si>
    <t xml:space="preserve">forminha jab branca </t>
  </si>
  <si>
    <t>ct</t>
  </si>
  <si>
    <t xml:space="preserve">fundo decorado </t>
  </si>
  <si>
    <t>pazinha concha</t>
  </si>
  <si>
    <t>pote termico</t>
  </si>
  <si>
    <t>tampa transparente</t>
  </si>
  <si>
    <t xml:space="preserve">mine colher </t>
  </si>
  <si>
    <t>cesta madeira</t>
  </si>
  <si>
    <t>sacola papel branco</t>
  </si>
  <si>
    <t>caixa ovo de colher</t>
  </si>
  <si>
    <t>caixa tie dye</t>
  </si>
  <si>
    <t>sobretampa</t>
  </si>
  <si>
    <t>ninho coelho</t>
  </si>
  <si>
    <t>cesta grande</t>
  </si>
  <si>
    <t>papel manteiga</t>
  </si>
  <si>
    <t>forma coelho</t>
  </si>
  <si>
    <t>papel toalha</t>
  </si>
  <si>
    <t>papel glasspel</t>
  </si>
  <si>
    <t>lata pra ovo</t>
  </si>
  <si>
    <t>fita tnt</t>
  </si>
  <si>
    <t xml:space="preserve">forma pudim </t>
  </si>
  <si>
    <t>embalagem quiche</t>
  </si>
  <si>
    <t>embalagem doce de leite</t>
  </si>
  <si>
    <t>essencia de mel</t>
  </si>
  <si>
    <t>embalagem 645 empada</t>
  </si>
  <si>
    <t>embalagem bolo gelado 650</t>
  </si>
  <si>
    <t>embalagem doce de leite 645d</t>
  </si>
  <si>
    <t>copo quadrado brigadeiro duo</t>
  </si>
  <si>
    <t>copo bolha</t>
  </si>
  <si>
    <t>tampa pra pote açaí</t>
  </si>
  <si>
    <t>copo açaí</t>
  </si>
  <si>
    <t>farinha de coco</t>
  </si>
  <si>
    <t>farinha de linhaça dourada</t>
  </si>
  <si>
    <t>goma xantana</t>
  </si>
  <si>
    <t>psyllium</t>
  </si>
  <si>
    <t>leite de coco em po</t>
  </si>
  <si>
    <t>Objetivo</t>
  </si>
  <si>
    <t>Lista de   I N G R E D I E N T E S</t>
  </si>
  <si>
    <t>Data de atualização</t>
  </si>
  <si>
    <t>Subtotal</t>
  </si>
  <si>
    <t>soma</t>
  </si>
  <si>
    <t>Nome do DOCE</t>
  </si>
  <si>
    <t>Categora</t>
  </si>
  <si>
    <t>% Despesas Gerais</t>
  </si>
  <si>
    <t>Lucro s/Venda</t>
  </si>
  <si>
    <t>Quantidade Produzida</t>
  </si>
  <si>
    <t>Custo Unitário</t>
  </si>
  <si>
    <t>Preço Venda Unit</t>
  </si>
  <si>
    <t>Fator Mult</t>
  </si>
  <si>
    <t>Preço Praticado</t>
  </si>
  <si>
    <t>Qt</t>
  </si>
  <si>
    <t>fermento químico</t>
  </si>
  <si>
    <t>BOLO GELADO ABACAXI</t>
  </si>
  <si>
    <t>BRIGADEIRO DUO</t>
  </si>
  <si>
    <t>CHOCOLATE branco</t>
  </si>
  <si>
    <t>BRIGADEIRO DE COLHER</t>
  </si>
  <si>
    <t>BRIGADEIRO UNITÁRIO</t>
  </si>
  <si>
    <t>BEIJINHO</t>
  </si>
  <si>
    <t>CAJUZINHO</t>
  </si>
  <si>
    <t>Fator</t>
  </si>
  <si>
    <t>Venda Fator</t>
  </si>
  <si>
    <t>ALFAJOR</t>
  </si>
  <si>
    <t>SACO TRANSPARENTE ALFAJOR</t>
  </si>
  <si>
    <t>PALHA ITALIANA</t>
  </si>
  <si>
    <t>SOBREMESA/DOCE</t>
  </si>
  <si>
    <t>FRANGO</t>
  </si>
  <si>
    <t>REQUEIJÃO CREMOSO</t>
  </si>
  <si>
    <t>BACON</t>
  </si>
  <si>
    <t>QUEIJO MINAS 0 LACTOSE</t>
  </si>
  <si>
    <t>QUICHE DE FRANGO</t>
  </si>
  <si>
    <t>QUICHE DE BACON</t>
  </si>
  <si>
    <t>CHARGE</t>
  </si>
  <si>
    <t>CANELA</t>
  </si>
  <si>
    <t>LIMÃO</t>
  </si>
  <si>
    <t>ESSENCIA DE BAUNILHA</t>
  </si>
  <si>
    <t>SEMENTE GIRASSOL</t>
  </si>
  <si>
    <t>GERGILIM</t>
  </si>
  <si>
    <t>GRANBERRY</t>
  </si>
  <si>
    <t>DAMASCO</t>
  </si>
  <si>
    <t>CHIPS DE COCO</t>
  </si>
  <si>
    <t>CASTANHA DO PARÁ</t>
  </si>
  <si>
    <t>CASTANHA DE CAJU</t>
  </si>
  <si>
    <t>GRANOLA</t>
  </si>
  <si>
    <t>PÃO DE FORMA</t>
  </si>
  <si>
    <t>azeite</t>
  </si>
  <si>
    <t>queijo prato</t>
  </si>
  <si>
    <t>FORMA ITALIANA BOLO</t>
  </si>
  <si>
    <t>suporte para torta</t>
  </si>
  <si>
    <t>ML</t>
  </si>
  <si>
    <t>NAKED M</t>
  </si>
  <si>
    <t>Galvanatec 679</t>
  </si>
  <si>
    <t>MINI VULCÃO</t>
  </si>
  <si>
    <t>TARTELETE</t>
  </si>
  <si>
    <t>EMPADA DE FRANGO</t>
  </si>
  <si>
    <t>BISCOITINHO DE COCO</t>
  </si>
  <si>
    <t>BISCOITINHO DE LIMÃO</t>
  </si>
  <si>
    <t>COOKIE</t>
  </si>
  <si>
    <t>TORTINHA DE FRANGO</t>
  </si>
  <si>
    <t>BOLO DE PRESTIGIO</t>
  </si>
  <si>
    <t>NAKED P</t>
  </si>
  <si>
    <t>NAKED G</t>
  </si>
  <si>
    <t>PIZZA</t>
  </si>
  <si>
    <t>BROWNIE NO POTE Ifood</t>
  </si>
  <si>
    <t>BROWNIE NO POTE Quero</t>
  </si>
  <si>
    <t>Aplicativos</t>
  </si>
  <si>
    <t>Online</t>
  </si>
  <si>
    <t>Taxas</t>
  </si>
  <si>
    <t>cartão</t>
  </si>
  <si>
    <t>TOTAL</t>
  </si>
  <si>
    <t>Vendas Presencial</t>
  </si>
  <si>
    <t>Ifood</t>
  </si>
  <si>
    <t>Quero Delivery</t>
  </si>
  <si>
    <t>BOLO GELADO ABACAXI ifood</t>
  </si>
  <si>
    <t>BOLO GELADO ABACAXI Quero</t>
  </si>
  <si>
    <t>Despesas</t>
  </si>
  <si>
    <t>LUCRO</t>
  </si>
  <si>
    <t>Data Atualização</t>
  </si>
  <si>
    <t xml:space="preserve">Qt </t>
  </si>
  <si>
    <t>cod</t>
  </si>
  <si>
    <t>PV-Prática</t>
  </si>
  <si>
    <t>MC</t>
  </si>
  <si>
    <t>%MC</t>
  </si>
  <si>
    <t>BRIGADEIRO DUO ifood</t>
  </si>
  <si>
    <t>BRIGADEIRO DE COLHER ifood</t>
  </si>
  <si>
    <t>BRIGADEIRO UNITÁRIO ifood</t>
  </si>
  <si>
    <t>CAJUZINHO ifood</t>
  </si>
  <si>
    <t>BEIJINHO ifood</t>
  </si>
  <si>
    <t>ALFAJOR ifood</t>
  </si>
  <si>
    <t>PALHA ITALIANA ifood</t>
  </si>
  <si>
    <t>EMPADA DE FRANGO ifood</t>
  </si>
  <si>
    <t>QUICHE DE FRANGO ifood</t>
  </si>
  <si>
    <t>CHARGE ifood</t>
  </si>
  <si>
    <t>PÃO DE FORMA ifood</t>
  </si>
  <si>
    <t>GRANOLA ifood</t>
  </si>
  <si>
    <t>BOLO DE PRESTIGIO ifood</t>
  </si>
  <si>
    <t>NAKED P ifood</t>
  </si>
  <si>
    <t>NAKED M ifood</t>
  </si>
  <si>
    <t>NAKED G ifood</t>
  </si>
  <si>
    <t>PIZZA ifood</t>
  </si>
  <si>
    <t>TARTELETE ifood</t>
  </si>
  <si>
    <t>MINI VULCÃO ifood</t>
  </si>
  <si>
    <t>TORTA SONHO VALSA ifood</t>
  </si>
  <si>
    <t>TORTA SONHO  VALSA</t>
  </si>
  <si>
    <t>TORTINHA FRANGO ifood</t>
  </si>
  <si>
    <t>COOKIE ifood</t>
  </si>
  <si>
    <t>BISCOITINHOLIMÃO ifood</t>
  </si>
  <si>
    <t>BISCOITINHO COCO ifood</t>
  </si>
  <si>
    <t>QUICHE DE BACON ifood</t>
  </si>
  <si>
    <t>BRIGADEIRO DUO Quero</t>
  </si>
  <si>
    <t>BRIGADEIRO DE COLHER Quero</t>
  </si>
  <si>
    <t>BRIGADEIRO UNITÁRIO Quero</t>
  </si>
  <si>
    <t>CAJUZINHO Quero</t>
  </si>
  <si>
    <t>BEIJINHO Quero</t>
  </si>
  <si>
    <t>ALFAJOR Quero</t>
  </si>
  <si>
    <t>PALHA ITALIANA Quero</t>
  </si>
  <si>
    <t>EMPADA DE FRANGO Quero</t>
  </si>
  <si>
    <t>QUICHE DE BACON Quero</t>
  </si>
  <si>
    <t>MINI VULCÃO Quero</t>
  </si>
  <si>
    <t>TARTELETE Quero</t>
  </si>
  <si>
    <t>PIZZA Quero</t>
  </si>
  <si>
    <t>NAKED M Quero</t>
  </si>
  <si>
    <t>NAKED P Quero</t>
  </si>
  <si>
    <t>TORTA SONHO VALSA Quero</t>
  </si>
  <si>
    <t>BOLO DE PRESTIGIO Quero</t>
  </si>
  <si>
    <t>GRANOLA Quero</t>
  </si>
  <si>
    <t>PÃO DE FORMA Quero</t>
  </si>
  <si>
    <t>BISCOITINHO LIMÃO Quero</t>
  </si>
  <si>
    <t>BISCOITINHO DE COCO Quero</t>
  </si>
  <si>
    <t>CHARGE Quero</t>
  </si>
  <si>
    <t>QUICHE DE FRANGO Quero</t>
  </si>
  <si>
    <t>COOKIE Quero</t>
  </si>
  <si>
    <t>TORTINHA DE FRANGO Quero</t>
  </si>
  <si>
    <t>NAKED G Quero</t>
  </si>
  <si>
    <t>milho munguzá</t>
  </si>
  <si>
    <t>milho</t>
  </si>
  <si>
    <t>01 mungun</t>
  </si>
  <si>
    <t>embalagem galvanatec g32</t>
  </si>
  <si>
    <t xml:space="preserve">macarrao de arroz </t>
  </si>
  <si>
    <t xml:space="preserve">file de tilapia </t>
  </si>
  <si>
    <t>farinha de arroz</t>
  </si>
  <si>
    <t>polvilho doce</t>
  </si>
  <si>
    <t>fecula</t>
  </si>
  <si>
    <t>embalagem retangular torta g630</t>
  </si>
  <si>
    <t>ISOPOR DE PIZZA REDONDA</t>
  </si>
  <si>
    <t>CAMARÃO</t>
  </si>
  <si>
    <t>CARNE SECA</t>
  </si>
  <si>
    <t>BANANA DA TERRA</t>
  </si>
  <si>
    <t>QUEIJO MUSSARELA 0 LACTOSE</t>
  </si>
  <si>
    <t>SUPORTE DO BOLO NAKED PP</t>
  </si>
  <si>
    <t>CHOCOLTE BRANCO</t>
  </si>
  <si>
    <t>berinjela</t>
  </si>
  <si>
    <t>embalagem lasanha</t>
  </si>
  <si>
    <t xml:space="preserve">embalagem marmita </t>
  </si>
  <si>
    <t>CARNE PATINHO</t>
  </si>
  <si>
    <t>papel trufa 14,5X15,5</t>
  </si>
  <si>
    <t>SACO DO BISCOITO 10X22</t>
  </si>
  <si>
    <t>saco transparente15X30</t>
  </si>
  <si>
    <t>BANANA PRATA</t>
  </si>
  <si>
    <t>Despesas Fixas</t>
  </si>
  <si>
    <t>Lucro Praticado</t>
  </si>
  <si>
    <t>Luro s/Venda</t>
  </si>
  <si>
    <t>Barra de CHOCOLATE</t>
  </si>
  <si>
    <t>Barra de CHOCOLATE ifood</t>
  </si>
  <si>
    <t>Barra de CHOCOLATE Quero</t>
  </si>
  <si>
    <t>% Custo</t>
  </si>
  <si>
    <t>% IMC</t>
  </si>
  <si>
    <t>PV</t>
  </si>
  <si>
    <t>Desp F</t>
  </si>
  <si>
    <t>Cutsos V</t>
  </si>
  <si>
    <t>Ponto de equlibrio</t>
  </si>
  <si>
    <t>desejado</t>
  </si>
  <si>
    <t>preço Cient</t>
  </si>
  <si>
    <t>Produto NOVO</t>
  </si>
  <si>
    <t>1-Digitado, 2- V Desejo</t>
  </si>
  <si>
    <t>Digite Vendas Totais/Mês</t>
  </si>
  <si>
    <t>Custo unit</t>
  </si>
  <si>
    <t>LUCRO DESEJADO</t>
  </si>
  <si>
    <t>MARKUP</t>
  </si>
  <si>
    <t>Taxa</t>
  </si>
  <si>
    <t>lucro prat</t>
  </si>
  <si>
    <t>% Lucro Prat</t>
  </si>
  <si>
    <t>fração</t>
  </si>
  <si>
    <t>duzia</t>
  </si>
  <si>
    <t>Leite condensado</t>
  </si>
  <si>
    <t>Leite Integral</t>
  </si>
  <si>
    <t>Bananas</t>
  </si>
  <si>
    <t>duzias</t>
  </si>
  <si>
    <t>Colorau</t>
  </si>
  <si>
    <t>Agua mineral</t>
  </si>
  <si>
    <t>P A S T E L</t>
  </si>
  <si>
    <t>1ª PARTE - CALCULAR O TOTAL DO CUSTO</t>
  </si>
  <si>
    <t xml:space="preserve">INFORMAR QUNATAS UNIDADES SERÃO PRODUZIDAS </t>
  </si>
  <si>
    <t>CALCULAR O CUSTO UNITÁRIO DE CADA PASTEL</t>
  </si>
  <si>
    <t>C U S T O</t>
  </si>
  <si>
    <t>Despesas Variáves</t>
  </si>
  <si>
    <t>O sistema gestão do preço calcula, através dos parâmateros feitos por SANDRO</t>
  </si>
  <si>
    <t>lucro</t>
  </si>
  <si>
    <t>Cálculo do Preço de Venda</t>
  </si>
  <si>
    <t>fórmula</t>
  </si>
  <si>
    <t>=preco custo/(1-soma)</t>
  </si>
  <si>
    <t>sonhos de ediberto</t>
  </si>
  <si>
    <t>Ele ter um preço do concorrente</t>
  </si>
  <si>
    <t>"=1-C/V-DF-DV</t>
  </si>
  <si>
    <t>C=preço de custo</t>
  </si>
  <si>
    <t>V= preço da venda conc</t>
  </si>
  <si>
    <t>ponto de Equilibrio</t>
  </si>
  <si>
    <t>DF</t>
  </si>
  <si>
    <t>DV</t>
  </si>
  <si>
    <t>C</t>
  </si>
  <si>
    <t>PV =C/(1-DF-DV)</t>
  </si>
  <si>
    <t>PE</t>
  </si>
  <si>
    <t>Este varia</t>
  </si>
  <si>
    <t>Outro sonho de Ediberto</t>
  </si>
  <si>
    <t>D R E</t>
  </si>
  <si>
    <t>Preço de Venda</t>
  </si>
  <si>
    <t>Preço do Custo</t>
  </si>
  <si>
    <t>Preço ZERO</t>
  </si>
  <si>
    <t>Despesas Fixas/Variáveis</t>
  </si>
  <si>
    <t>Preço Concorrencia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</si>
</sst>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.00"/>
    <numFmt numFmtId="165" formatCode="#,##0.000"/>
    <numFmt numFmtId="166" formatCode="&quot;R$&quot;\ #,##0.00"/>
    <numFmt numFmtId="167" formatCode="_-[$R$-416]\ * #,##0.00_-;\-[$R$-416]\ * #,##0.00_-;_-[$R$-416]\ * &quot;-&quot;??_-;_-@_-"/>
    <numFmt numFmtId="168" formatCode="&quot;R$&quot;#,##0.000"/>
  </numFmts>
  <fonts count="21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scheme val="minor"/>
    </font>
    <font>
      <b/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/>
      <top/>
      <bottom/>
      <diagonal/>
    </border>
  </borders>
  <cellStyleXfs count="3">
    <xf numFmtId="0" fontId="0" fillId="0" borderId="0"/>
    <xf numFmtId="0" fontId="11" fillId="7" borderId="7" applyNumberFormat="0" applyAlignment="0" applyProtection="0"/>
    <xf numFmtId="0" fontId="1" fillId="3" borderId="8" applyFont="0" applyAlignment="0" applyProtection="0">
      <alignment horizontal="center" vertical="center"/>
    </xf>
  </cellStyleXfs>
  <cellXfs count="264"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4" fillId="0" borderId="0" xfId="0" applyNumberFormat="1" applyFont="1"/>
    <xf numFmtId="0" fontId="0" fillId="0" borderId="5" xfId="0" applyBorder="1"/>
    <xf numFmtId="164" fontId="0" fillId="0" borderId="5" xfId="0" applyNumberFormat="1" applyBorder="1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3" borderId="0" xfId="0" applyFill="1"/>
    <xf numFmtId="0" fontId="14" fillId="7" borderId="7" xfId="1" applyNumberFormat="1" applyFont="1" applyBorder="1" applyAlignment="1" applyProtection="1">
      <alignment horizontal="center" vertical="center"/>
    </xf>
    <xf numFmtId="0" fontId="14" fillId="7" borderId="7" xfId="1" applyFont="1" applyBorder="1" applyAlignment="1" applyProtection="1">
      <alignment horizontal="center"/>
    </xf>
    <xf numFmtId="164" fontId="14" fillId="7" borderId="7" xfId="1" applyNumberFormat="1" applyFont="1" applyBorder="1" applyAlignment="1" applyProtection="1">
      <alignment horizontal="center"/>
    </xf>
    <xf numFmtId="165" fontId="14" fillId="7" borderId="7" xfId="1" applyNumberFormat="1" applyFont="1" applyBorder="1" applyAlignment="1" applyProtection="1">
      <alignment horizontal="center"/>
    </xf>
    <xf numFmtId="0" fontId="14" fillId="7" borderId="7" xfId="1" applyNumberFormat="1" applyFont="1" applyAlignment="1" applyProtection="1">
      <alignment horizontal="center" vertical="center"/>
    </xf>
    <xf numFmtId="0" fontId="14" fillId="7" borderId="7" xfId="1" applyFont="1" applyProtection="1"/>
    <xf numFmtId="0" fontId="14" fillId="7" borderId="7" xfId="1" applyFont="1" applyAlignment="1" applyProtection="1">
      <alignment horizontal="center"/>
      <protection locked="0"/>
    </xf>
    <xf numFmtId="0" fontId="14" fillId="7" borderId="7" xfId="1" applyNumberFormat="1" applyFont="1" applyAlignment="1" applyProtection="1">
      <alignment horizontal="center"/>
      <protection locked="0"/>
    </xf>
    <xf numFmtId="164" fontId="14" fillId="7" borderId="7" xfId="1" applyNumberFormat="1" applyFont="1" applyProtection="1">
      <protection locked="0"/>
    </xf>
    <xf numFmtId="165" fontId="14" fillId="7" borderId="7" xfId="1" applyNumberFormat="1" applyFont="1" applyAlignment="1" applyProtection="1">
      <alignment horizontal="center"/>
    </xf>
    <xf numFmtId="0" fontId="14" fillId="5" borderId="7" xfId="1" applyNumberFormat="1" applyFont="1" applyFill="1" applyAlignment="1" applyProtection="1">
      <alignment horizontal="center" vertical="center"/>
    </xf>
    <xf numFmtId="0" fontId="14" fillId="5" borderId="7" xfId="1" applyFont="1" applyFill="1" applyProtection="1"/>
    <xf numFmtId="0" fontId="14" fillId="5" borderId="7" xfId="1" applyFont="1" applyFill="1" applyAlignment="1" applyProtection="1">
      <alignment horizontal="center"/>
      <protection locked="0"/>
    </xf>
    <xf numFmtId="0" fontId="14" fillId="5" borderId="7" xfId="1" applyNumberFormat="1" applyFont="1" applyFill="1" applyAlignment="1" applyProtection="1">
      <alignment horizontal="center"/>
      <protection locked="0"/>
    </xf>
    <xf numFmtId="164" fontId="14" fillId="5" borderId="7" xfId="1" applyNumberFormat="1" applyFont="1" applyFill="1" applyProtection="1">
      <protection locked="0"/>
    </xf>
    <xf numFmtId="165" fontId="14" fillId="5" borderId="7" xfId="1" applyNumberFormat="1" applyFont="1" applyFill="1" applyAlignment="1" applyProtection="1">
      <alignment horizontal="center"/>
    </xf>
    <xf numFmtId="164" fontId="14" fillId="7" borderId="7" xfId="1" applyNumberFormat="1" applyFont="1" applyAlignment="1" applyProtection="1">
      <alignment horizontal="center"/>
      <protection locked="0"/>
    </xf>
    <xf numFmtId="0" fontId="10" fillId="4" borderId="6" xfId="0" applyNumberFormat="1" applyFont="1" applyFill="1" applyBorder="1" applyAlignment="1" applyProtection="1">
      <alignment horizontal="left"/>
    </xf>
    <xf numFmtId="0" fontId="10" fillId="4" borderId="1" xfId="0" applyFont="1" applyFill="1" applyBorder="1" applyAlignment="1" applyProtection="1">
      <alignment horizontal="left"/>
    </xf>
    <xf numFmtId="2" fontId="10" fillId="4" borderId="1" xfId="0" applyNumberFormat="1" applyFont="1" applyFill="1" applyBorder="1" applyAlignment="1" applyProtection="1">
      <alignment horizontal="left"/>
    </xf>
    <xf numFmtId="0" fontId="10" fillId="4" borderId="1" xfId="0" applyNumberFormat="1" applyFont="1" applyFill="1" applyBorder="1" applyAlignment="1" applyProtection="1">
      <alignment horizontal="left"/>
    </xf>
    <xf numFmtId="0" fontId="9" fillId="0" borderId="0" xfId="0" applyFont="1" applyAlignment="1" applyProtection="1">
      <alignment horizontal="left"/>
    </xf>
    <xf numFmtId="2" fontId="9" fillId="0" borderId="0" xfId="0" applyNumberFormat="1" applyFont="1" applyAlignment="1" applyProtection="1">
      <alignment horizontal="left"/>
    </xf>
    <xf numFmtId="0" fontId="9" fillId="0" borderId="0" xfId="0" applyNumberFormat="1" applyFont="1" applyAlignment="1" applyProtection="1">
      <alignment horizontal="left"/>
    </xf>
    <xf numFmtId="0" fontId="5" fillId="2" borderId="1" xfId="0" applyFont="1" applyFill="1" applyBorder="1" applyAlignment="1" applyProtection="1">
      <alignment horizontal="center"/>
      <protection locked="0"/>
    </xf>
    <xf numFmtId="166" fontId="5" fillId="0" borderId="1" xfId="0" applyNumberFormat="1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0" fontId="5" fillId="2" borderId="1" xfId="0" applyNumberFormat="1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10" fillId="4" borderId="6" xfId="0" applyFont="1" applyFill="1" applyBorder="1" applyAlignment="1" applyProtection="1">
      <alignment horizontal="left"/>
    </xf>
    <xf numFmtId="166" fontId="0" fillId="0" borderId="0" xfId="0" applyNumberFormat="1"/>
    <xf numFmtId="0" fontId="14" fillId="7" borderId="12" xfId="1" applyNumberFormat="1" applyFont="1" applyBorder="1" applyAlignment="1" applyProtection="1">
      <alignment horizontal="center" vertical="center"/>
    </xf>
    <xf numFmtId="0" fontId="14" fillId="7" borderId="12" xfId="1" applyFont="1" applyBorder="1" applyProtection="1"/>
    <xf numFmtId="0" fontId="14" fillId="7" borderId="12" xfId="1" applyFont="1" applyBorder="1" applyProtection="1">
      <protection locked="0"/>
    </xf>
    <xf numFmtId="165" fontId="14" fillId="7" borderId="12" xfId="1" applyNumberFormat="1" applyFont="1" applyBorder="1" applyAlignment="1" applyProtection="1">
      <alignment horizontal="center"/>
    </xf>
    <xf numFmtId="167" fontId="14" fillId="7" borderId="12" xfId="1" applyNumberFormat="1" applyFont="1" applyBorder="1" applyProtection="1">
      <protection locked="0"/>
    </xf>
    <xf numFmtId="0" fontId="10" fillId="4" borderId="6" xfId="0" applyFont="1" applyFill="1" applyBorder="1" applyAlignment="1" applyProtection="1">
      <alignment horizontal="left"/>
    </xf>
    <xf numFmtId="166" fontId="0" fillId="0" borderId="5" xfId="0" applyNumberFormat="1" applyBorder="1"/>
    <xf numFmtId="0" fontId="14" fillId="7" borderId="12" xfId="1" applyFont="1" applyBorder="1" applyAlignment="1" applyProtection="1">
      <alignment horizontal="center"/>
      <protection locked="0"/>
    </xf>
    <xf numFmtId="2" fontId="5" fillId="5" borderId="3" xfId="0" applyNumberFormat="1" applyFont="1" applyFill="1" applyBorder="1" applyAlignment="1" applyProtection="1">
      <alignment horizontal="center"/>
      <protection locked="0"/>
    </xf>
    <xf numFmtId="0" fontId="9" fillId="3" borderId="2" xfId="0" applyNumberFormat="1" applyFont="1" applyFill="1" applyBorder="1" applyAlignment="1" applyProtection="1"/>
    <xf numFmtId="0" fontId="9" fillId="12" borderId="4" xfId="0" applyNumberFormat="1" applyFont="1" applyFill="1" applyBorder="1" applyAlignment="1" applyProtection="1"/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6" fillId="7" borderId="12" xfId="1" applyNumberFormat="1" applyFont="1" applyBorder="1" applyAlignment="1" applyProtection="1">
      <alignment horizontal="center" vertical="center"/>
    </xf>
    <xf numFmtId="0" fontId="16" fillId="7" borderId="12" xfId="1" applyFont="1" applyBorder="1" applyProtection="1"/>
    <xf numFmtId="0" fontId="16" fillId="7" borderId="12" xfId="1" applyFont="1" applyBorder="1" applyProtection="1">
      <protection locked="0"/>
    </xf>
    <xf numFmtId="165" fontId="16" fillId="7" borderId="12" xfId="1" applyNumberFormat="1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9" fillId="3" borderId="1" xfId="0" applyNumberFormat="1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9" fillId="3" borderId="1" xfId="0" applyNumberFormat="1" applyFont="1" applyFill="1" applyBorder="1" applyAlignment="1" applyProtection="1"/>
    <xf numFmtId="0" fontId="15" fillId="6" borderId="5" xfId="0" applyFont="1" applyFill="1" applyBorder="1" applyAlignment="1">
      <alignment horizontal="center"/>
    </xf>
    <xf numFmtId="10" fontId="0" fillId="13" borderId="5" xfId="0" applyNumberFormat="1" applyFill="1" applyBorder="1"/>
    <xf numFmtId="0" fontId="2" fillId="14" borderId="5" xfId="0" applyFont="1" applyFill="1" applyBorder="1" applyAlignment="1" applyProtection="1">
      <alignment horizontal="center"/>
      <protection locked="0"/>
    </xf>
    <xf numFmtId="0" fontId="8" fillId="14" borderId="5" xfId="0" applyFont="1" applyFill="1" applyBorder="1" applyAlignment="1" applyProtection="1">
      <alignment horizontal="center"/>
      <protection locked="0"/>
    </xf>
    <xf numFmtId="166" fontId="18" fillId="3" borderId="5" xfId="0" applyNumberFormat="1" applyFont="1" applyFill="1" applyBorder="1"/>
    <xf numFmtId="164" fontId="7" fillId="15" borderId="5" xfId="0" applyNumberFormat="1" applyFont="1" applyFill="1" applyBorder="1" applyAlignment="1">
      <alignment horizontal="center"/>
    </xf>
    <xf numFmtId="166" fontId="15" fillId="3" borderId="5" xfId="0" applyNumberFormat="1" applyFont="1" applyFill="1" applyBorder="1" applyAlignment="1">
      <alignment horizontal="center"/>
    </xf>
    <xf numFmtId="166" fontId="19" fillId="3" borderId="5" xfId="0" applyNumberFormat="1" applyFont="1" applyFill="1" applyBorder="1" applyAlignment="1">
      <alignment horizontal="center"/>
    </xf>
    <xf numFmtId="10" fontId="15" fillId="13" borderId="5" xfId="0" applyNumberFormat="1" applyFont="1" applyFill="1" applyBorder="1" applyAlignment="1">
      <alignment horizontal="center"/>
    </xf>
    <xf numFmtId="166" fontId="15" fillId="0" borderId="5" xfId="0" applyNumberFormat="1" applyFont="1" applyBorder="1" applyAlignment="1">
      <alignment horizontal="center"/>
    </xf>
    <xf numFmtId="10" fontId="0" fillId="5" borderId="13" xfId="0" applyNumberFormat="1" applyFill="1" applyBorder="1" applyProtection="1">
      <protection locked="0"/>
    </xf>
    <xf numFmtId="0" fontId="11" fillId="4" borderId="13" xfId="0" applyFont="1" applyFill="1" applyBorder="1" applyAlignment="1">
      <alignment horizontal="center" vertical="center"/>
    </xf>
    <xf numFmtId="164" fontId="11" fillId="4" borderId="13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0" borderId="13" xfId="0" applyBorder="1"/>
    <xf numFmtId="10" fontId="8" fillId="5" borderId="13" xfId="0" applyNumberFormat="1" applyFont="1" applyFill="1" applyBorder="1" applyAlignment="1" applyProtection="1">
      <alignment horizontal="center"/>
      <protection locked="0"/>
    </xf>
    <xf numFmtId="10" fontId="0" fillId="0" borderId="13" xfId="0" applyNumberFormat="1" applyBorder="1"/>
    <xf numFmtId="0" fontId="0" fillId="16" borderId="0" xfId="0" applyFill="1"/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4" fillId="5" borderId="7" xfId="1" applyNumberFormat="1" applyFont="1" applyFill="1" applyBorder="1" applyAlignment="1">
      <alignment horizontal="center" vertical="center"/>
    </xf>
    <xf numFmtId="0" fontId="14" fillId="7" borderId="7" xfId="1" applyFont="1" applyFill="1" applyBorder="1"/>
    <xf numFmtId="0" fontId="14" fillId="7" borderId="7" xfId="1" applyFont="1" applyFill="1" applyBorder="1" applyAlignment="1">
      <alignment horizontal="center"/>
    </xf>
    <xf numFmtId="0" fontId="14" fillId="7" borderId="7" xfId="1" applyNumberFormat="1" applyFont="1" applyFill="1" applyBorder="1" applyAlignment="1">
      <alignment horizontal="center"/>
    </xf>
    <xf numFmtId="164" fontId="14" fillId="7" borderId="7" xfId="1" applyNumberFormat="1" applyFont="1" applyFill="1" applyBorder="1"/>
    <xf numFmtId="165" fontId="14" fillId="7" borderId="7" xfId="1" applyNumberFormat="1" applyFont="1" applyFill="1" applyBorder="1" applyAlignment="1">
      <alignment horizontal="center"/>
    </xf>
    <xf numFmtId="0" fontId="14" fillId="5" borderId="7" xfId="1" applyFont="1" applyFill="1" applyBorder="1"/>
    <xf numFmtId="0" fontId="14" fillId="5" borderId="7" xfId="1" applyFont="1" applyFill="1" applyBorder="1" applyAlignment="1">
      <alignment horizontal="center"/>
    </xf>
    <xf numFmtId="164" fontId="14" fillId="5" borderId="7" xfId="1" applyNumberFormat="1" applyFont="1" applyFill="1" applyBorder="1"/>
    <xf numFmtId="165" fontId="14" fillId="5" borderId="7" xfId="1" applyNumberFormat="1" applyFont="1" applyFill="1" applyBorder="1" applyAlignment="1">
      <alignment horizontal="center"/>
    </xf>
    <xf numFmtId="0" fontId="14" fillId="5" borderId="7" xfId="1" applyNumberFormat="1" applyFont="1" applyFill="1" applyBorder="1" applyAlignment="1">
      <alignment horizontal="center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0" fillId="4" borderId="6" xfId="0" applyFont="1" applyFill="1" applyBorder="1" applyAlignment="1" applyProtection="1">
      <alignment horizontal="left"/>
    </xf>
    <xf numFmtId="0" fontId="14" fillId="5" borderId="7" xfId="1" applyFont="1" applyFill="1" applyAlignment="1" applyProtection="1">
      <alignment horizontal="center"/>
    </xf>
    <xf numFmtId="0" fontId="9" fillId="17" borderId="1" xfId="0" applyNumberFormat="1" applyFont="1" applyFill="1" applyBorder="1" applyAlignment="1" applyProtection="1">
      <alignment horizontal="center" vertical="center"/>
    </xf>
    <xf numFmtId="166" fontId="9" fillId="3" borderId="1" xfId="0" applyNumberFormat="1" applyFont="1" applyFill="1" applyBorder="1" applyAlignment="1" applyProtection="1"/>
    <xf numFmtId="0" fontId="7" fillId="6" borderId="5" xfId="0" applyFont="1" applyFill="1" applyBorder="1" applyAlignment="1"/>
    <xf numFmtId="164" fontId="7" fillId="20" borderId="5" xfId="0" applyNumberFormat="1" applyFont="1" applyFill="1" applyBorder="1" applyAlignment="1">
      <alignment horizontal="center"/>
    </xf>
    <xf numFmtId="0" fontId="2" fillId="20" borderId="5" xfId="0" applyFont="1" applyFill="1" applyBorder="1" applyAlignment="1" applyProtection="1">
      <alignment horizontal="center"/>
      <protection locked="0"/>
    </xf>
    <xf numFmtId="166" fontId="15" fillId="20" borderId="5" xfId="0" applyNumberFormat="1" applyFont="1" applyFill="1" applyBorder="1" applyAlignment="1">
      <alignment horizontal="center"/>
    </xf>
    <xf numFmtId="166" fontId="19" fillId="20" borderId="5" xfId="0" applyNumberFormat="1" applyFont="1" applyFill="1" applyBorder="1" applyAlignment="1">
      <alignment horizontal="center"/>
    </xf>
    <xf numFmtId="10" fontId="15" fillId="20" borderId="5" xfId="0" applyNumberFormat="1" applyFont="1" applyFill="1" applyBorder="1" applyAlignment="1">
      <alignment horizontal="center"/>
    </xf>
    <xf numFmtId="0" fontId="8" fillId="20" borderId="5" xfId="0" applyFont="1" applyFill="1" applyBorder="1" applyAlignment="1" applyProtection="1">
      <alignment horizontal="center"/>
      <protection locked="0"/>
    </xf>
    <xf numFmtId="10" fontId="0" fillId="0" borderId="0" xfId="0" applyNumberFormat="1"/>
    <xf numFmtId="164" fontId="0" fillId="20" borderId="5" xfId="0" applyNumberFormat="1" applyFill="1" applyBorder="1"/>
    <xf numFmtId="10" fontId="0" fillId="20" borderId="5" xfId="0" applyNumberFormat="1" applyFill="1" applyBorder="1"/>
    <xf numFmtId="0" fontId="0" fillId="0" borderId="16" xfId="0" applyBorder="1"/>
    <xf numFmtId="10" fontId="0" fillId="5" borderId="16" xfId="0" applyNumberFormat="1" applyFill="1" applyBorder="1" applyProtection="1">
      <protection locked="0"/>
    </xf>
    <xf numFmtId="10" fontId="8" fillId="5" borderId="16" xfId="0" applyNumberFormat="1" applyFont="1" applyFill="1" applyBorder="1" applyAlignment="1" applyProtection="1">
      <alignment horizontal="center"/>
      <protection locked="0"/>
    </xf>
    <xf numFmtId="10" fontId="0" fillId="0" borderId="16" xfId="0" applyNumberFormat="1" applyBorder="1"/>
    <xf numFmtId="0" fontId="7" fillId="6" borderId="5" xfId="0" applyFont="1" applyFill="1" applyBorder="1"/>
    <xf numFmtId="164" fontId="7" fillId="6" borderId="5" xfId="0" applyNumberFormat="1" applyFont="1" applyFill="1" applyBorder="1" applyAlignment="1"/>
    <xf numFmtId="0" fontId="2" fillId="6" borderId="5" xfId="0" applyFont="1" applyFill="1" applyBorder="1" applyAlignment="1">
      <alignment horizontal="center"/>
    </xf>
    <xf numFmtId="164" fontId="7" fillId="6" borderId="5" xfId="0" applyNumberFormat="1" applyFont="1" applyFill="1" applyBorder="1"/>
    <xf numFmtId="0" fontId="17" fillId="6" borderId="5" xfId="0" applyFont="1" applyFill="1" applyBorder="1" applyAlignment="1">
      <alignment horizontal="center" wrapText="1"/>
    </xf>
    <xf numFmtId="10" fontId="0" fillId="0" borderId="5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8" fillId="3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locked="0"/>
    </xf>
    <xf numFmtId="10" fontId="0" fillId="3" borderId="0" xfId="0" applyNumberFormat="1" applyFill="1" applyBorder="1"/>
    <xf numFmtId="166" fontId="0" fillId="3" borderId="0" xfId="0" applyNumberFormat="1" applyFill="1" applyBorder="1"/>
    <xf numFmtId="0" fontId="8" fillId="3" borderId="0" xfId="0" applyFont="1" applyFill="1" applyBorder="1" applyAlignment="1">
      <alignment horizontal="center"/>
    </xf>
    <xf numFmtId="0" fontId="0" fillId="4" borderId="0" xfId="0" applyFill="1" applyBorder="1"/>
    <xf numFmtId="164" fontId="0" fillId="4" borderId="0" xfId="0" applyNumberFormat="1" applyFill="1" applyBorder="1"/>
    <xf numFmtId="0" fontId="8" fillId="4" borderId="0" xfId="0" applyFont="1" applyFill="1" applyBorder="1" applyAlignment="1" applyProtection="1">
      <alignment horizontal="center"/>
      <protection locked="0"/>
    </xf>
    <xf numFmtId="0" fontId="0" fillId="4" borderId="0" xfId="0" applyFill="1" applyBorder="1" applyProtection="1">
      <protection locked="0"/>
    </xf>
    <xf numFmtId="10" fontId="0" fillId="4" borderId="0" xfId="0" applyNumberFormat="1" applyFill="1" applyBorder="1"/>
    <xf numFmtId="166" fontId="0" fillId="4" borderId="0" xfId="0" applyNumberFormat="1" applyFill="1" applyBorder="1"/>
    <xf numFmtId="0" fontId="7" fillId="20" borderId="5" xfId="0" applyFont="1" applyFill="1" applyBorder="1" applyAlignment="1" applyProtection="1">
      <alignment horizontal="center" vertical="center"/>
      <protection locked="0"/>
    </xf>
    <xf numFmtId="0" fontId="7" fillId="11" borderId="5" xfId="0" applyFont="1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protection locked="0"/>
    </xf>
    <xf numFmtId="0" fontId="0" fillId="20" borderId="5" xfId="0" applyFill="1" applyBorder="1" applyProtection="1">
      <protection locked="0"/>
    </xf>
    <xf numFmtId="0" fontId="0" fillId="0" borderId="5" xfId="0" applyBorder="1" applyProtection="1">
      <protection locked="0"/>
    </xf>
    <xf numFmtId="0" fontId="0" fillId="0" borderId="5" xfId="0" applyFill="1" applyBorder="1" applyProtection="1">
      <protection locked="0"/>
    </xf>
    <xf numFmtId="166" fontId="0" fillId="3" borderId="0" xfId="0" applyNumberFormat="1" applyFill="1" applyBorder="1" applyProtection="1">
      <protection locked="0"/>
    </xf>
    <xf numFmtId="0" fontId="9" fillId="0" borderId="1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/>
    <xf numFmtId="166" fontId="9" fillId="0" borderId="14" xfId="0" applyNumberFormat="1" applyFont="1" applyBorder="1" applyAlignment="1">
      <alignment vertical="center" wrapText="1"/>
    </xf>
    <xf numFmtId="10" fontId="8" fillId="0" borderId="0" xfId="0" applyNumberFormat="1" applyFont="1" applyAlignment="1"/>
    <xf numFmtId="10" fontId="9" fillId="0" borderId="0" xfId="0" applyNumberFormat="1" applyFont="1" applyAlignment="1">
      <alignment vertical="center" wrapText="1"/>
    </xf>
    <xf numFmtId="10" fontId="0" fillId="3" borderId="5" xfId="0" applyNumberFormat="1" applyFill="1" applyBorder="1"/>
    <xf numFmtId="10" fontId="0" fillId="3" borderId="15" xfId="0" applyNumberFormat="1" applyFill="1" applyBorder="1"/>
    <xf numFmtId="0" fontId="0" fillId="0" borderId="17" xfId="0" applyBorder="1"/>
    <xf numFmtId="166" fontId="0" fillId="0" borderId="17" xfId="0" applyNumberFormat="1" applyBorder="1"/>
    <xf numFmtId="0" fontId="9" fillId="0" borderId="17" xfId="0" applyFont="1" applyBorder="1" applyAlignment="1">
      <alignment vertical="center" wrapText="1"/>
    </xf>
    <xf numFmtId="0" fontId="8" fillId="0" borderId="17" xfId="0" applyFont="1" applyBorder="1" applyAlignment="1"/>
    <xf numFmtId="166" fontId="8" fillId="8" borderId="17" xfId="0" applyNumberFormat="1" applyFont="1" applyFill="1" applyBorder="1"/>
    <xf numFmtId="0" fontId="0" fillId="0" borderId="18" xfId="0" applyFill="1" applyBorder="1"/>
    <xf numFmtId="166" fontId="0" fillId="20" borderId="0" xfId="0" applyNumberFormat="1" applyFill="1"/>
    <xf numFmtId="0" fontId="7" fillId="17" borderId="0" xfId="0" applyFont="1" applyFill="1" applyAlignment="1" applyProtection="1">
      <alignment horizontal="center"/>
      <protection locked="0"/>
    </xf>
    <xf numFmtId="166" fontId="15" fillId="17" borderId="0" xfId="0" applyNumberFormat="1" applyFont="1" applyFill="1" applyProtection="1">
      <protection locked="0"/>
    </xf>
    <xf numFmtId="10" fontId="0" fillId="17" borderId="13" xfId="0" applyNumberFormat="1" applyFill="1" applyBorder="1" applyProtection="1">
      <protection locked="0"/>
    </xf>
    <xf numFmtId="166" fontId="5" fillId="17" borderId="5" xfId="0" applyNumberFormat="1" applyFont="1" applyFill="1" applyBorder="1" applyAlignment="1" applyProtection="1">
      <alignment horizontal="center"/>
      <protection locked="0"/>
    </xf>
    <xf numFmtId="0" fontId="0" fillId="17" borderId="5" xfId="0" applyFill="1" applyBorder="1" applyProtection="1">
      <protection locked="0"/>
    </xf>
    <xf numFmtId="0" fontId="15" fillId="6" borderId="20" xfId="0" applyFont="1" applyFill="1" applyBorder="1" applyAlignment="1">
      <alignment horizontal="center"/>
    </xf>
    <xf numFmtId="166" fontId="0" fillId="20" borderId="19" xfId="0" applyNumberFormat="1" applyFill="1" applyBorder="1" applyAlignment="1">
      <alignment horizontal="center"/>
    </xf>
    <xf numFmtId="166" fontId="0" fillId="20" borderId="0" xfId="0" applyNumberFormat="1" applyFill="1" applyBorder="1" applyAlignment="1">
      <alignment horizontal="center"/>
    </xf>
    <xf numFmtId="0" fontId="15" fillId="0" borderId="13" xfId="0" applyFont="1" applyBorder="1" applyAlignment="1">
      <alignment horizontal="center" vertical="center" textRotation="90"/>
    </xf>
    <xf numFmtId="0" fontId="15" fillId="0" borderId="16" xfId="0" applyFont="1" applyBorder="1" applyAlignment="1">
      <alignment horizontal="center" vertical="center" textRotation="90"/>
    </xf>
    <xf numFmtId="0" fontId="8" fillId="0" borderId="13" xfId="0" applyFont="1" applyBorder="1" applyAlignment="1">
      <alignment horizontal="center"/>
    </xf>
    <xf numFmtId="14" fontId="2" fillId="6" borderId="13" xfId="0" applyNumberFormat="1" applyFont="1" applyFill="1" applyBorder="1" applyAlignment="1" applyProtection="1">
      <alignment horizontal="center"/>
      <protection locked="0"/>
    </xf>
    <xf numFmtId="0" fontId="2" fillId="6" borderId="13" xfId="0" applyFont="1" applyFill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166" fontId="9" fillId="17" borderId="17" xfId="0" applyNumberFormat="1" applyFont="1" applyFill="1" applyBorder="1" applyAlignment="1" applyProtection="1">
      <alignment horizontal="center" vertical="center" wrapText="1"/>
      <protection locked="0"/>
    </xf>
    <xf numFmtId="166" fontId="9" fillId="9" borderId="17" xfId="0" applyNumberFormat="1" applyFont="1" applyFill="1" applyBorder="1" applyAlignment="1">
      <alignment horizontal="center" vertical="center" wrapText="1"/>
    </xf>
    <xf numFmtId="10" fontId="9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" fillId="4" borderId="9" xfId="0" applyNumberFormat="1" applyFont="1" applyFill="1" applyBorder="1" applyAlignment="1">
      <alignment horizontal="center" vertical="center"/>
    </xf>
    <xf numFmtId="0" fontId="12" fillId="4" borderId="10" xfId="0" applyNumberFormat="1" applyFont="1" applyFill="1" applyBorder="1" applyAlignment="1">
      <alignment horizontal="center" vertical="center"/>
    </xf>
    <xf numFmtId="0" fontId="12" fillId="4" borderId="11" xfId="0" applyNumberFormat="1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 applyProtection="1">
      <alignment horizontal="center"/>
      <protection locked="0"/>
    </xf>
    <xf numFmtId="14" fontId="4" fillId="5" borderId="11" xfId="0" applyNumberFormat="1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left"/>
    </xf>
    <xf numFmtId="0" fontId="9" fillId="0" borderId="4" xfId="0" applyFont="1" applyBorder="1" applyAlignment="1" applyProtection="1">
      <alignment horizontal="left"/>
    </xf>
    <xf numFmtId="164" fontId="5" fillId="0" borderId="1" xfId="0" applyNumberFormat="1" applyFont="1" applyBorder="1" applyAlignment="1" applyProtection="1">
      <alignment horizontal="center"/>
      <protection locked="0"/>
    </xf>
    <xf numFmtId="164" fontId="13" fillId="4" borderId="1" xfId="0" applyNumberFormat="1" applyFont="1" applyFill="1" applyBorder="1" applyAlignment="1" applyProtection="1">
      <alignment horizontal="center"/>
    </xf>
    <xf numFmtId="0" fontId="10" fillId="4" borderId="6" xfId="0" applyFont="1" applyFill="1" applyBorder="1" applyAlignment="1" applyProtection="1">
      <alignment horizontal="left"/>
    </xf>
    <xf numFmtId="0" fontId="10" fillId="4" borderId="2" xfId="0" applyFont="1" applyFill="1" applyBorder="1" applyAlignment="1" applyProtection="1">
      <alignment horizontal="left"/>
    </xf>
    <xf numFmtId="0" fontId="10" fillId="4" borderId="4" xfId="0" applyFont="1" applyFill="1" applyBorder="1" applyAlignment="1" applyProtection="1">
      <alignment horizontal="left"/>
    </xf>
    <xf numFmtId="0" fontId="9" fillId="10" borderId="1" xfId="0" applyNumberFormat="1" applyFont="1" applyFill="1" applyBorder="1" applyAlignment="1" applyProtection="1">
      <alignment horizontal="left"/>
    </xf>
    <xf numFmtId="0" fontId="9" fillId="3" borderId="1" xfId="0" applyNumberFormat="1" applyFont="1" applyFill="1" applyBorder="1" applyAlignment="1" applyProtection="1">
      <alignment horizontal="left"/>
    </xf>
    <xf numFmtId="0" fontId="9" fillId="15" borderId="1" xfId="0" applyNumberFormat="1" applyFont="1" applyFill="1" applyBorder="1" applyAlignment="1" applyProtection="1">
      <alignment vertical="center"/>
    </xf>
    <xf numFmtId="0" fontId="9" fillId="3" borderId="2" xfId="0" applyNumberFormat="1" applyFont="1" applyFill="1" applyBorder="1" applyAlignment="1" applyProtection="1">
      <alignment horizontal="center"/>
    </xf>
    <xf numFmtId="0" fontId="9" fillId="3" borderId="4" xfId="0" applyNumberFormat="1" applyFont="1" applyFill="1" applyBorder="1" applyAlignment="1" applyProtection="1">
      <alignment horizontal="center"/>
    </xf>
    <xf numFmtId="0" fontId="9" fillId="18" borderId="1" xfId="0" applyNumberFormat="1" applyFont="1" applyFill="1" applyBorder="1" applyAlignment="1" applyProtection="1">
      <alignment vertical="center"/>
    </xf>
    <xf numFmtId="166" fontId="9" fillId="15" borderId="1" xfId="0" applyNumberFormat="1" applyFont="1" applyFill="1" applyBorder="1" applyAlignment="1" applyProtection="1">
      <alignment horizontal="center"/>
    </xf>
    <xf numFmtId="0" fontId="9" fillId="15" borderId="1" xfId="0" applyNumberFormat="1" applyFont="1" applyFill="1" applyBorder="1" applyAlignment="1" applyProtection="1">
      <alignment horizontal="left" vertical="center"/>
    </xf>
    <xf numFmtId="0" fontId="9" fillId="3" borderId="1" xfId="0" applyNumberFormat="1" applyFont="1" applyFill="1" applyBorder="1" applyAlignment="1" applyProtection="1">
      <alignment horizontal="center"/>
    </xf>
    <xf numFmtId="166" fontId="9" fillId="3" borderId="1" xfId="0" applyNumberFormat="1" applyFont="1" applyFill="1" applyBorder="1" applyAlignment="1" applyProtection="1">
      <alignment horizontal="left"/>
    </xf>
    <xf numFmtId="10" fontId="5" fillId="5" borderId="1" xfId="0" applyNumberFormat="1" applyFont="1" applyFill="1" applyBorder="1" applyAlignment="1" applyProtection="1">
      <alignment horizontal="center"/>
    </xf>
    <xf numFmtId="10" fontId="5" fillId="5" borderId="1" xfId="0" applyNumberFormat="1" applyFont="1" applyFill="1" applyBorder="1" applyAlignment="1" applyProtection="1">
      <alignment horizontal="center"/>
      <protection locked="0"/>
    </xf>
    <xf numFmtId="10" fontId="9" fillId="15" borderId="1" xfId="0" applyNumberFormat="1" applyFont="1" applyFill="1" applyBorder="1" applyAlignment="1" applyProtection="1">
      <alignment horizontal="center"/>
    </xf>
    <xf numFmtId="0" fontId="9" fillId="15" borderId="1" xfId="0" applyFont="1" applyFill="1" applyBorder="1" applyAlignment="1" applyProtection="1">
      <alignment horizontal="center"/>
    </xf>
    <xf numFmtId="0" fontId="5" fillId="5" borderId="1" xfId="0" applyNumberFormat="1" applyFont="1" applyFill="1" applyBorder="1" applyAlignment="1" applyProtection="1">
      <alignment horizontal="center"/>
    </xf>
    <xf numFmtId="166" fontId="9" fillId="3" borderId="1" xfId="0" applyNumberFormat="1" applyFont="1" applyFill="1" applyBorder="1" applyAlignment="1" applyProtection="1">
      <alignment horizontal="center"/>
    </xf>
    <xf numFmtId="166" fontId="9" fillId="19" borderId="1" xfId="0" applyNumberFormat="1" applyFont="1" applyFill="1" applyBorder="1" applyAlignment="1" applyProtection="1">
      <alignment horizontal="center"/>
    </xf>
    <xf numFmtId="166" fontId="9" fillId="18" borderId="1" xfId="0" applyNumberFormat="1" applyFont="1" applyFill="1" applyBorder="1" applyAlignment="1" applyProtection="1">
      <alignment horizontal="center"/>
    </xf>
    <xf numFmtId="0" fontId="9" fillId="18" borderId="1" xfId="0" applyNumberFormat="1" applyFont="1" applyFill="1" applyBorder="1" applyAlignment="1" applyProtection="1">
      <alignment horizontal="center"/>
    </xf>
    <xf numFmtId="0" fontId="9" fillId="19" borderId="1" xfId="0" applyFont="1" applyFill="1" applyBorder="1" applyAlignment="1" applyProtection="1">
      <alignment horizontal="center"/>
    </xf>
    <xf numFmtId="168" fontId="5" fillId="0" borderId="1" xfId="0" applyNumberFormat="1" applyFont="1" applyBorder="1" applyAlignment="1" applyProtection="1">
      <alignment horizontal="center"/>
      <protection locked="0"/>
    </xf>
    <xf numFmtId="164" fontId="0" fillId="0" borderId="1" xfId="0" applyNumberFormat="1" applyFont="1" applyBorder="1" applyAlignment="1" applyProtection="1">
      <alignment horizontal="center"/>
      <protection locked="0"/>
    </xf>
    <xf numFmtId="0" fontId="5" fillId="5" borderId="2" xfId="0" applyNumberFormat="1" applyFont="1" applyFill="1" applyBorder="1" applyAlignment="1" applyProtection="1">
      <alignment horizontal="center"/>
      <protection locked="0"/>
    </xf>
    <xf numFmtId="0" fontId="5" fillId="5" borderId="4" xfId="0" applyNumberFormat="1" applyFont="1" applyFill="1" applyBorder="1" applyAlignment="1" applyProtection="1">
      <alignment horizontal="center"/>
      <protection locked="0"/>
    </xf>
    <xf numFmtId="0" fontId="9" fillId="3" borderId="2" xfId="0" applyNumberFormat="1" applyFont="1" applyFill="1" applyBorder="1" applyAlignment="1" applyProtection="1">
      <alignment horizontal="left"/>
    </xf>
    <xf numFmtId="0" fontId="9" fillId="3" borderId="4" xfId="0" applyNumberFormat="1" applyFont="1" applyFill="1" applyBorder="1" applyAlignment="1" applyProtection="1">
      <alignment horizontal="left"/>
    </xf>
    <xf numFmtId="166" fontId="9" fillId="3" borderId="2" xfId="0" applyNumberFormat="1" applyFont="1" applyFill="1" applyBorder="1" applyAlignment="1" applyProtection="1">
      <alignment horizontal="center"/>
    </xf>
    <xf numFmtId="0" fontId="9" fillId="3" borderId="3" xfId="0" applyNumberFormat="1" applyFont="1" applyFill="1" applyBorder="1" applyAlignment="1" applyProtection="1">
      <alignment horizontal="center"/>
    </xf>
    <xf numFmtId="0" fontId="9" fillId="10" borderId="2" xfId="0" applyNumberFormat="1" applyFont="1" applyFill="1" applyBorder="1" applyAlignment="1" applyProtection="1">
      <alignment horizontal="left"/>
    </xf>
    <xf numFmtId="0" fontId="9" fillId="10" borderId="4" xfId="0" applyNumberFormat="1" applyFont="1" applyFill="1" applyBorder="1" applyAlignment="1" applyProtection="1">
      <alignment horizontal="left"/>
    </xf>
    <xf numFmtId="166" fontId="9" fillId="10" borderId="2" xfId="0" applyNumberFormat="1" applyFont="1" applyFill="1" applyBorder="1" applyAlignment="1" applyProtection="1">
      <alignment horizontal="center"/>
    </xf>
    <xf numFmtId="166" fontId="9" fillId="10" borderId="4" xfId="0" applyNumberFormat="1" applyFont="1" applyFill="1" applyBorder="1" applyAlignment="1" applyProtection="1">
      <alignment horizontal="center"/>
    </xf>
    <xf numFmtId="166" fontId="9" fillId="12" borderId="2" xfId="0" applyNumberFormat="1" applyFont="1" applyFill="1" applyBorder="1" applyAlignment="1" applyProtection="1">
      <alignment horizontal="center"/>
    </xf>
    <xf numFmtId="0" fontId="9" fillId="12" borderId="3" xfId="0" applyNumberFormat="1" applyFont="1" applyFill="1" applyBorder="1" applyAlignment="1" applyProtection="1">
      <alignment horizontal="center"/>
    </xf>
    <xf numFmtId="0" fontId="9" fillId="9" borderId="2" xfId="0" applyNumberFormat="1" applyFont="1" applyFill="1" applyBorder="1" applyAlignment="1" applyProtection="1">
      <alignment horizontal="center"/>
    </xf>
    <xf numFmtId="0" fontId="9" fillId="9" borderId="3" xfId="0" applyNumberFormat="1" applyFont="1" applyFill="1" applyBorder="1" applyAlignment="1" applyProtection="1">
      <alignment horizontal="center"/>
    </xf>
    <xf numFmtId="0" fontId="9" fillId="9" borderId="4" xfId="0" applyNumberFormat="1" applyFont="1" applyFill="1" applyBorder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2" fontId="9" fillId="3" borderId="3" xfId="0" applyNumberFormat="1" applyFont="1" applyFill="1" applyBorder="1" applyAlignment="1" applyProtection="1">
      <alignment horizontal="center"/>
    </xf>
    <xf numFmtId="166" fontId="9" fillId="12" borderId="4" xfId="0" applyNumberFormat="1" applyFont="1" applyFill="1" applyBorder="1" applyAlignment="1" applyProtection="1">
      <alignment horizontal="center"/>
    </xf>
    <xf numFmtId="0" fontId="9" fillId="3" borderId="2" xfId="0" applyNumberFormat="1" applyFont="1" applyFill="1" applyBorder="1" applyAlignment="1" applyProtection="1">
      <alignment horizontal="left"/>
      <protection locked="0"/>
    </xf>
    <xf numFmtId="0" fontId="9" fillId="3" borderId="4" xfId="0" applyNumberFormat="1" applyFont="1" applyFill="1" applyBorder="1" applyAlignment="1" applyProtection="1">
      <alignment horizontal="left"/>
      <protection locked="0"/>
    </xf>
    <xf numFmtId="0" fontId="9" fillId="3" borderId="1" xfId="0" applyNumberFormat="1" applyFont="1" applyFill="1" applyBorder="1" applyAlignment="1" applyProtection="1">
      <alignment horizontal="left"/>
      <protection locked="0"/>
    </xf>
    <xf numFmtId="10" fontId="5" fillId="5" borderId="2" xfId="0" applyNumberFormat="1" applyFont="1" applyFill="1" applyBorder="1" applyAlignment="1" applyProtection="1">
      <alignment horizontal="center"/>
      <protection locked="0"/>
    </xf>
    <xf numFmtId="10" fontId="5" fillId="5" borderId="4" xfId="0" applyNumberFormat="1" applyFont="1" applyFill="1" applyBorder="1" applyAlignment="1" applyProtection="1">
      <alignment horizontal="center"/>
      <protection locked="0"/>
    </xf>
    <xf numFmtId="0" fontId="2" fillId="20" borderId="5" xfId="0" applyFont="1" applyFill="1" applyBorder="1" applyAlignment="1" applyProtection="1">
      <alignment horizontal="center" vertical="center"/>
      <protection locked="0"/>
    </xf>
    <xf numFmtId="166" fontId="9" fillId="8" borderId="1" xfId="0" applyNumberFormat="1" applyFont="1" applyFill="1" applyBorder="1" applyAlignment="1" applyProtection="1">
      <alignment horizontal="center"/>
    </xf>
    <xf numFmtId="0" fontId="9" fillId="8" borderId="1" xfId="0" applyNumberFormat="1" applyFont="1" applyFill="1" applyBorder="1" applyAlignment="1" applyProtection="1">
      <alignment horizontal="center"/>
    </xf>
    <xf numFmtId="0" fontId="10" fillId="4" borderId="21" xfId="0" applyNumberFormat="1" applyFont="1" applyFill="1" applyBorder="1" applyAlignment="1" applyProtection="1">
      <alignment horizontal="center"/>
    </xf>
    <xf numFmtId="0" fontId="10" fillId="4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 textRotation="88" wrapText="1"/>
    </xf>
    <xf numFmtId="166" fontId="2" fillId="8" borderId="0" xfId="0" applyNumberFormat="1" applyFont="1" applyFill="1"/>
    <xf numFmtId="9" fontId="0" fillId="6" borderId="0" xfId="0" applyNumberFormat="1" applyFill="1"/>
    <xf numFmtId="10" fontId="0" fillId="6" borderId="0" xfId="0" applyNumberFormat="1" applyFill="1"/>
    <xf numFmtId="0" fontId="5" fillId="6" borderId="1" xfId="0" applyNumberFormat="1" applyFont="1" applyFill="1" applyBorder="1" applyAlignment="1" applyProtection="1">
      <alignment horizontal="center"/>
    </xf>
    <xf numFmtId="0" fontId="9" fillId="3" borderId="1" xfId="0" applyNumberFormat="1" applyFont="1" applyFill="1" applyBorder="1" applyAlignment="1" applyProtection="1">
      <alignment vertical="center"/>
    </xf>
    <xf numFmtId="0" fontId="9" fillId="3" borderId="1" xfId="0" applyFont="1" applyFill="1" applyBorder="1" applyAlignment="1" applyProtection="1">
      <alignment horizontal="center"/>
    </xf>
    <xf numFmtId="0" fontId="20" fillId="0" borderId="0" xfId="0" applyFont="1" applyAlignment="1">
      <alignment horizontal="center" wrapText="1"/>
    </xf>
    <xf numFmtId="10" fontId="2" fillId="0" borderId="0" xfId="0" applyNumberFormat="1" applyFont="1"/>
    <xf numFmtId="0" fontId="0" fillId="0" borderId="0" xfId="0" quotePrefix="1"/>
    <xf numFmtId="166" fontId="0" fillId="6" borderId="0" xfId="0" applyNumberFormat="1" applyFill="1"/>
    <xf numFmtId="166" fontId="0" fillId="3" borderId="0" xfId="0" applyNumberFormat="1" applyFill="1"/>
    <xf numFmtId="166" fontId="9" fillId="21" borderId="1" xfId="0" applyNumberFormat="1" applyFont="1" applyFill="1" applyBorder="1" applyAlignment="1" applyProtection="1">
      <alignment horizontal="center"/>
    </xf>
    <xf numFmtId="0" fontId="9" fillId="21" borderId="1" xfId="0" applyNumberFormat="1" applyFont="1" applyFill="1" applyBorder="1" applyAlignment="1" applyProtection="1">
      <alignment horizontal="center"/>
    </xf>
    <xf numFmtId="166" fontId="9" fillId="16" borderId="2" xfId="0" applyNumberFormat="1" applyFont="1" applyFill="1" applyBorder="1" applyAlignment="1" applyProtection="1">
      <alignment horizontal="center" vertical="center"/>
    </xf>
    <xf numFmtId="0" fontId="9" fillId="16" borderId="3" xfId="0" applyNumberFormat="1" applyFont="1" applyFill="1" applyBorder="1" applyAlignment="1" applyProtection="1">
      <alignment horizontal="center" vertical="center"/>
    </xf>
    <xf numFmtId="0" fontId="9" fillId="16" borderId="4" xfId="0" applyNumberFormat="1" applyFont="1" applyFill="1" applyBorder="1" applyAlignment="1" applyProtection="1">
      <alignment horizontal="center" vertical="center"/>
    </xf>
  </cellXfs>
  <cellStyles count="3">
    <cellStyle name="Célula de Verificação" xfId="1" builtinId="23"/>
    <cellStyle name="Estilo 1" xfId="2" xr:uid="{00000000-0005-0000-0000-000001000000}"/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numFmt numFmtId="165" formatCode="#,##0.000"/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1" hidden="0"/>
    </dxf>
    <dxf>
      <border>
        <bottom style="double">
          <color rgb="FF3F3F3F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border diagonalUp="0" diagonalDown="0" outline="0">
        <left style="double">
          <color rgb="FF3F3F3F"/>
        </left>
        <right style="double">
          <color rgb="FF3F3F3F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4:F159" totalsRowShown="0" headerRowDxfId="8" dataDxfId="6" headerRowBorderDxfId="7" headerRowCellStyle="Célula de Verificação" dataCellStyle="Célula de Verificação">
  <autoFilter ref="A4:F159" xr:uid="{00000000-0009-0000-0100-000002000000}"/>
  <sortState ref="A5:F153">
    <sortCondition ref="B5"/>
  </sortState>
  <tableColumns count="6">
    <tableColumn id="1" xr3:uid="{00000000-0010-0000-0000-000001000000}" name="Cod" dataDxfId="5" dataCellStyle="Célula de Verificação">
      <calculatedColumnFormula>A4+1</calculatedColumnFormula>
    </tableColumn>
    <tableColumn id="2" xr3:uid="{00000000-0010-0000-0000-000002000000}" name="Descrição do Produto" dataDxfId="4" dataCellStyle="Célula de Verificação"/>
    <tableColumn id="3" xr3:uid="{00000000-0010-0000-0000-000003000000}" name="unidade" dataDxfId="3" dataCellStyle="Célula de Verificação"/>
    <tableColumn id="4" xr3:uid="{00000000-0010-0000-0000-000004000000}" name="fração" dataDxfId="2" dataCellStyle="Célula de Verificação"/>
    <tableColumn id="5" xr3:uid="{00000000-0010-0000-0000-000005000000}" name="Preço" dataDxfId="1" dataCellStyle="Célula de Verificação"/>
    <tableColumn id="6" xr3:uid="{00000000-0010-0000-0000-000006000000}" name="Preço por(g)" dataDxfId="0" dataCellStyle="Célula de Verificação">
      <calculatedColumnFormula>IFERROR(E5/D5,"")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workbookViewId="0">
      <selection activeCell="C8" sqref="C8"/>
    </sheetView>
  </sheetViews>
  <sheetFormatPr defaultRowHeight="20.100000000000001" customHeight="1" x14ac:dyDescent="0.25"/>
  <cols>
    <col min="1" max="1" width="9.140625" style="128"/>
    <col min="2" max="2" width="29.85546875" style="131" customWidth="1"/>
    <col min="3" max="3" width="10" style="129" bestFit="1" customWidth="1"/>
    <col min="4" max="4" width="9.140625" style="134"/>
    <col min="5" max="5" width="11" style="129" bestFit="1" customWidth="1"/>
    <col min="6" max="6" width="9.140625" style="128"/>
    <col min="7" max="7" width="13.5703125" style="131" bestFit="1" customWidth="1"/>
    <col min="8" max="8" width="12.85546875" style="128" bestFit="1" customWidth="1"/>
    <col min="9" max="9" width="14" style="128" bestFit="1" customWidth="1"/>
    <col min="10" max="10" width="12.85546875" style="128" bestFit="1" customWidth="1"/>
    <col min="11" max="11" width="9.140625" style="128"/>
    <col min="13" max="13" width="14" bestFit="1" customWidth="1"/>
    <col min="14" max="14" width="12.42578125" bestFit="1" customWidth="1"/>
  </cols>
  <sheetData>
    <row r="1" spans="1:17" ht="20.100000000000001" customHeight="1" thickTop="1" thickBot="1" x14ac:dyDescent="0.3">
      <c r="A1" s="177" t="s">
        <v>198</v>
      </c>
      <c r="B1" s="177"/>
      <c r="C1" s="166">
        <v>0.2</v>
      </c>
      <c r="D1" s="174" t="s">
        <v>200</v>
      </c>
      <c r="E1" s="174"/>
      <c r="F1" s="174"/>
      <c r="G1" s="149"/>
      <c r="H1" s="178" t="s">
        <v>282</v>
      </c>
      <c r="I1" s="178"/>
      <c r="J1" s="179">
        <v>4100</v>
      </c>
      <c r="K1" s="179"/>
      <c r="L1" s="157" t="s">
        <v>290</v>
      </c>
      <c r="M1" s="40">
        <f>IF(N2=1,N5,IF(N2=2,M5,"ERRO"))</f>
        <v>8000</v>
      </c>
      <c r="N1" s="170" t="s">
        <v>297</v>
      </c>
      <c r="O1" s="171"/>
      <c r="P1" s="171"/>
    </row>
    <row r="2" spans="1:17" ht="20.100000000000001" customHeight="1" thickTop="1" thickBot="1" x14ac:dyDescent="0.3">
      <c r="A2" s="177" t="s">
        <v>300</v>
      </c>
      <c r="B2" s="177"/>
      <c r="C2" s="166">
        <v>0.5</v>
      </c>
      <c r="D2" s="175">
        <v>44306</v>
      </c>
      <c r="E2" s="176"/>
      <c r="F2" s="176"/>
      <c r="G2" s="149"/>
      <c r="H2" s="178" t="s">
        <v>293</v>
      </c>
      <c r="I2" s="178"/>
      <c r="J2" s="180">
        <f>J1/J3</f>
        <v>5987.5012455864371</v>
      </c>
      <c r="K2" s="180"/>
      <c r="L2" s="157" t="s">
        <v>291</v>
      </c>
      <c r="M2" s="158">
        <f>-J1</f>
        <v>-4100</v>
      </c>
      <c r="N2" s="164">
        <v>1</v>
      </c>
    </row>
    <row r="3" spans="1:17" ht="20.100000000000001" customHeight="1" thickTop="1" thickBot="1" x14ac:dyDescent="0.3">
      <c r="A3" s="172" t="s">
        <v>190</v>
      </c>
      <c r="B3" s="82" t="s">
        <v>188</v>
      </c>
      <c r="C3" s="83" t="s">
        <v>302</v>
      </c>
      <c r="D3" s="84" t="s">
        <v>189</v>
      </c>
      <c r="E3" s="83" t="s">
        <v>191</v>
      </c>
      <c r="F3" s="82" t="s">
        <v>192</v>
      </c>
      <c r="G3" s="149"/>
      <c r="H3" s="178" t="s">
        <v>289</v>
      </c>
      <c r="I3" s="178"/>
      <c r="J3" s="181">
        <f>I6</f>
        <v>0.68475977404133825</v>
      </c>
      <c r="K3" s="178"/>
      <c r="L3" s="157" t="s">
        <v>292</v>
      </c>
      <c r="M3" s="158">
        <f>-(1-J3)*M1</f>
        <v>-2521.9218076692941</v>
      </c>
      <c r="N3" t="str">
        <f>IF(N2=1,"Ponto E",IF(N2=2,"V Desejo"))</f>
        <v>Ponto E</v>
      </c>
    </row>
    <row r="4" spans="1:17" ht="20.100000000000001" customHeight="1" thickTop="1" thickBot="1" x14ac:dyDescent="0.3">
      <c r="A4" s="172"/>
      <c r="B4" s="85" t="s">
        <v>193</v>
      </c>
      <c r="C4" s="81">
        <v>0</v>
      </c>
      <c r="D4" s="86">
        <v>0</v>
      </c>
      <c r="E4" s="81">
        <v>4.9399999999999999E-2</v>
      </c>
      <c r="F4" s="87">
        <f>SUM(C4:E4)</f>
        <v>4.9399999999999999E-2</v>
      </c>
      <c r="G4" s="149"/>
      <c r="H4" s="159"/>
      <c r="I4" s="159"/>
      <c r="J4" s="159"/>
      <c r="K4" s="160"/>
      <c r="L4" s="157" t="s">
        <v>199</v>
      </c>
      <c r="M4" s="161">
        <f>SUM(M1:M3)</f>
        <v>1378.0781923307059</v>
      </c>
      <c r="N4" s="115">
        <f>M4/M1</f>
        <v>0.17225977404133824</v>
      </c>
    </row>
    <row r="5" spans="1:17" ht="20.100000000000001" customHeight="1" thickTop="1" thickBot="1" x14ac:dyDescent="0.3">
      <c r="A5" s="172"/>
      <c r="B5" s="85" t="s">
        <v>194</v>
      </c>
      <c r="C5" s="81">
        <v>0.12</v>
      </c>
      <c r="D5" s="86">
        <v>3.5000000000000003E-2</v>
      </c>
      <c r="E5" s="81">
        <v>0</v>
      </c>
      <c r="F5" s="87">
        <v>0.17100000000000001</v>
      </c>
      <c r="G5" s="149"/>
      <c r="H5" s="150"/>
      <c r="I5" s="150"/>
      <c r="J5" s="150"/>
      <c r="K5" s="151"/>
      <c r="L5" s="162" t="s">
        <v>294</v>
      </c>
      <c r="M5" s="163">
        <f>-M2/(1-C2-F8)</f>
        <v>27107.438016528926</v>
      </c>
      <c r="N5" s="165">
        <v>8000</v>
      </c>
      <c r="O5" s="182" t="s">
        <v>298</v>
      </c>
      <c r="P5" s="182"/>
      <c r="Q5" s="182"/>
    </row>
    <row r="6" spans="1:17" ht="20.100000000000001" customHeight="1" thickTop="1" thickBot="1" x14ac:dyDescent="0.3">
      <c r="A6" s="173"/>
      <c r="B6" s="118" t="s">
        <v>195</v>
      </c>
      <c r="C6" s="119">
        <v>0.08</v>
      </c>
      <c r="D6" s="120">
        <v>4.99E-2</v>
      </c>
      <c r="E6" s="119">
        <v>0</v>
      </c>
      <c r="F6" s="121">
        <v>0.13</v>
      </c>
      <c r="G6" s="152">
        <f>AVERAGE(G8:G166)</f>
        <v>77.787933457335811</v>
      </c>
      <c r="H6" s="152">
        <f>AVERAGE(H8:H166)</f>
        <v>53.266047737387929</v>
      </c>
      <c r="I6" s="154">
        <f>H6/G6</f>
        <v>0.68475977404133825</v>
      </c>
      <c r="J6" s="152">
        <f>AVERAGE(J8:J166)</f>
        <v>37.70846104592075</v>
      </c>
      <c r="K6" s="153">
        <f>J6/G6</f>
        <v>0.48475977404133808</v>
      </c>
    </row>
    <row r="7" spans="1:17" ht="20.100000000000001" customHeight="1" thickBot="1" x14ac:dyDescent="0.3">
      <c r="A7" s="122" t="s">
        <v>33</v>
      </c>
      <c r="B7" s="108" t="s">
        <v>34</v>
      </c>
      <c r="C7" s="123" t="s">
        <v>299</v>
      </c>
      <c r="D7" s="124" t="s">
        <v>201</v>
      </c>
      <c r="E7" s="125" t="s">
        <v>295</v>
      </c>
      <c r="F7" s="126" t="s">
        <v>288</v>
      </c>
      <c r="G7" s="71" t="s">
        <v>203</v>
      </c>
      <c r="H7" s="71" t="s">
        <v>204</v>
      </c>
      <c r="I7" s="71" t="s">
        <v>205</v>
      </c>
      <c r="J7" s="71" t="s">
        <v>303</v>
      </c>
      <c r="K7" s="71" t="s">
        <v>304</v>
      </c>
      <c r="M7" s="169" t="s">
        <v>301</v>
      </c>
    </row>
    <row r="8" spans="1:17" ht="20.100000000000001" customHeight="1" thickBot="1" x14ac:dyDescent="0.35">
      <c r="A8" s="141">
        <v>501</v>
      </c>
      <c r="B8" s="242" t="s">
        <v>313</v>
      </c>
      <c r="C8" s="109">
        <f>C10</f>
        <v>4.7896000000000001</v>
      </c>
      <c r="D8" s="110">
        <v>1</v>
      </c>
      <c r="E8" s="111">
        <f>C8/(1-$C$1-$C$2-$F$4)</f>
        <v>19.112529928172382</v>
      </c>
      <c r="F8" s="155">
        <f>IFERROR(C8/G8,"")+$F$4</f>
        <v>0.34875</v>
      </c>
      <c r="G8" s="167">
        <v>16</v>
      </c>
      <c r="H8" s="112">
        <f>IF(G8="","",G8-C8-($F$4)*G8)</f>
        <v>10.42</v>
      </c>
      <c r="I8" s="113">
        <f>IF(G8="","",H8/G8)</f>
        <v>0.65125</v>
      </c>
      <c r="J8" s="111">
        <f>IF(G8="","",H8-G8*($C$1))</f>
        <v>7.22</v>
      </c>
      <c r="K8" s="127">
        <f>IFERROR(J8/G8,"")</f>
        <v>0.45124999999999998</v>
      </c>
    </row>
    <row r="9" spans="1:17" ht="20.100000000000001" customHeight="1" thickBot="1" x14ac:dyDescent="0.35">
      <c r="A9" s="142">
        <f>A8+200</f>
        <v>701</v>
      </c>
      <c r="B9" s="144" t="s">
        <v>186</v>
      </c>
      <c r="C9" s="76">
        <f>C10</f>
        <v>4.7896000000000001</v>
      </c>
      <c r="D9" s="73">
        <v>1</v>
      </c>
      <c r="E9" s="77">
        <f>(E8/(1-$F$5))</f>
        <v>23.054921505636166</v>
      </c>
      <c r="F9" s="155">
        <f>IFERROR(C9/G9,"")+$F$5</f>
        <v>0.37874740000000007</v>
      </c>
      <c r="G9" s="167">
        <f t="shared" ref="G9:G72" si="0">E9</f>
        <v>23.054921505636166</v>
      </c>
      <c r="H9" s="78">
        <f>IF(G9="","",G9-C9-($F$5)*G9)</f>
        <v>14.322929928172382</v>
      </c>
      <c r="I9" s="79">
        <f t="shared" ref="I9:I10" si="1">IF(G9="","",H9/G9)</f>
        <v>0.62125259999999993</v>
      </c>
      <c r="J9" s="80">
        <f t="shared" ref="J9:J72" si="2">IF(G9="","",H9-G9*$C$1)</f>
        <v>9.7119456270451483</v>
      </c>
      <c r="K9" s="127">
        <f t="shared" ref="K9:K72" si="3">IFERROR(J9/G9,"")</f>
        <v>0.42125259999999992</v>
      </c>
      <c r="L9">
        <v>1</v>
      </c>
      <c r="M9">
        <v>1</v>
      </c>
    </row>
    <row r="10" spans="1:17" ht="20.100000000000001" customHeight="1" thickBot="1" x14ac:dyDescent="0.35">
      <c r="A10" s="142">
        <f>A8+400</f>
        <v>901</v>
      </c>
      <c r="B10" s="144" t="s">
        <v>187</v>
      </c>
      <c r="C10" s="76">
        <f>Violino!C3:D3</f>
        <v>4.7896000000000001</v>
      </c>
      <c r="D10" s="74">
        <v>1</v>
      </c>
      <c r="E10" s="77">
        <f>E8/(1-$F$6)</f>
        <v>21.968425204795842</v>
      </c>
      <c r="F10" s="155">
        <f>IFERROR(C10/G10,"")+$F$6</f>
        <v>0.34802200000000005</v>
      </c>
      <c r="G10" s="167">
        <f t="shared" si="0"/>
        <v>21.968425204795842</v>
      </c>
      <c r="H10" s="78">
        <f>IF(G10="","",G10-C10-($F$6)*G10)</f>
        <v>14.322929928172382</v>
      </c>
      <c r="I10" s="79">
        <f t="shared" si="1"/>
        <v>0.65197799999999995</v>
      </c>
      <c r="J10" s="80">
        <f t="shared" si="2"/>
        <v>9.929244887213212</v>
      </c>
      <c r="K10" s="127">
        <f t="shared" si="3"/>
        <v>0.45197799999999982</v>
      </c>
      <c r="L10">
        <v>0.87</v>
      </c>
      <c r="M10">
        <v>0.82899999999999996</v>
      </c>
    </row>
    <row r="11" spans="1:17" ht="20.100000000000001" customHeight="1" thickBot="1" x14ac:dyDescent="0.35">
      <c r="A11" s="141">
        <f t="shared" ref="A11:A41" si="4">A8+1</f>
        <v>502</v>
      </c>
      <c r="B11" s="145" t="s">
        <v>136</v>
      </c>
      <c r="C11" s="109">
        <f>'BOLO GELADO ABACAXI'!C3:D3</f>
        <v>99.690994509803929</v>
      </c>
      <c r="D11" s="114">
        <v>1</v>
      </c>
      <c r="E11" s="111">
        <f>C11/(1-$C$1-$C$2-$F$4)</f>
        <v>397.80923587312014</v>
      </c>
      <c r="F11" s="155">
        <f>IFERROR(C11/G11,"")+$F$4</f>
        <v>6.6954663006535959</v>
      </c>
      <c r="G11" s="167">
        <v>15</v>
      </c>
      <c r="H11" s="112">
        <f>IF(G11="","",G11-C11-($F$4)*G11)</f>
        <v>-85.431994509803928</v>
      </c>
      <c r="I11" s="113">
        <f>IF(G11="","",H11/G11)</f>
        <v>-5.695466300653595</v>
      </c>
      <c r="J11" s="111">
        <f t="shared" si="2"/>
        <v>-88.431994509803928</v>
      </c>
      <c r="K11" s="127">
        <f t="shared" si="3"/>
        <v>-5.8954663006535952</v>
      </c>
      <c r="L11">
        <f>L10-L9</f>
        <v>-0.13</v>
      </c>
      <c r="M11">
        <f>M10-M9</f>
        <v>-0.17100000000000004</v>
      </c>
    </row>
    <row r="12" spans="1:17" ht="20.100000000000001" customHeight="1" thickBot="1" x14ac:dyDescent="0.35">
      <c r="A12" s="142">
        <f>A11+200</f>
        <v>702</v>
      </c>
      <c r="B12" s="146" t="s">
        <v>196</v>
      </c>
      <c r="C12" s="76">
        <f>C11</f>
        <v>99.690994509803929</v>
      </c>
      <c r="D12" s="74">
        <v>1</v>
      </c>
      <c r="E12" s="77">
        <f>C12/(1-$C$1-$C$2-$F$5)</f>
        <v>772.79840705274341</v>
      </c>
      <c r="F12" s="155">
        <f>IFERROR(C12/G12,"")+$F$5</f>
        <v>0.30000000000000004</v>
      </c>
      <c r="G12" s="167">
        <f t="shared" si="0"/>
        <v>772.79840705274341</v>
      </c>
      <c r="H12" s="78">
        <f>IF(G12="","",G12-C12-($F$5)*G12)</f>
        <v>540.95888493692041</v>
      </c>
      <c r="I12" s="79">
        <f t="shared" ref="I12:I13" si="5">IF(G12="","",H12/G12)</f>
        <v>0.70000000000000007</v>
      </c>
      <c r="J12" s="80">
        <f t="shared" si="2"/>
        <v>386.39920352637171</v>
      </c>
      <c r="K12" s="127">
        <f t="shared" si="3"/>
        <v>0.5</v>
      </c>
    </row>
    <row r="13" spans="1:17" ht="20.100000000000001" customHeight="1" thickBot="1" x14ac:dyDescent="0.35">
      <c r="A13" s="142">
        <f>A11+400</f>
        <v>902</v>
      </c>
      <c r="B13" s="146" t="s">
        <v>197</v>
      </c>
      <c r="C13" s="76">
        <f>C11</f>
        <v>99.690994509803929</v>
      </c>
      <c r="D13" s="74">
        <v>1</v>
      </c>
      <c r="E13" s="77">
        <f>C13/(1-$C$1-$C$2-$F$6)</f>
        <v>586.41761476355236</v>
      </c>
      <c r="F13" s="155">
        <f>IFERROR(C13/G13,"")+$F$6</f>
        <v>0.30000000000000004</v>
      </c>
      <c r="G13" s="167">
        <f t="shared" si="0"/>
        <v>586.41761476355236</v>
      </c>
      <c r="H13" s="78">
        <f>IF(G13="","",G13-C13-($F$6)*G13)</f>
        <v>410.49233033448661</v>
      </c>
      <c r="I13" s="79">
        <f t="shared" si="5"/>
        <v>0.7</v>
      </c>
      <c r="J13" s="80">
        <f t="shared" si="2"/>
        <v>293.20880738177613</v>
      </c>
      <c r="K13" s="127">
        <f t="shared" si="3"/>
        <v>0.49999999999999989</v>
      </c>
    </row>
    <row r="14" spans="1:17" ht="20.100000000000001" customHeight="1" thickBot="1" x14ac:dyDescent="0.35">
      <c r="A14" s="141">
        <f t="shared" si="4"/>
        <v>503</v>
      </c>
      <c r="B14" s="145" t="s">
        <v>137</v>
      </c>
      <c r="C14" s="109">
        <f>'BRIG COLHER'!C3:D3</f>
        <v>4.5661437908496731</v>
      </c>
      <c r="D14" s="114">
        <v>1</v>
      </c>
      <c r="E14" s="111">
        <f>C14/(1-$C$1-$C$2-$F$4)</f>
        <v>18.220845135074512</v>
      </c>
      <c r="F14" s="155">
        <f>IFERROR(C14/G14,"")+$F$4</f>
        <v>0.30000000000000004</v>
      </c>
      <c r="G14" s="167">
        <f t="shared" si="0"/>
        <v>18.220845135074512</v>
      </c>
      <c r="H14" s="112">
        <f>IF(G14="","",G14-C14-($F$4)*G14)</f>
        <v>12.75459159455216</v>
      </c>
      <c r="I14" s="113">
        <f>IF(G14="","",H14/G14)</f>
        <v>0.70000000000000007</v>
      </c>
      <c r="J14" s="111">
        <f t="shared" si="2"/>
        <v>9.1104225675372579</v>
      </c>
      <c r="K14" s="127">
        <f t="shared" si="3"/>
        <v>0.50000000000000011</v>
      </c>
    </row>
    <row r="15" spans="1:17" ht="20.100000000000001" customHeight="1" thickBot="1" x14ac:dyDescent="0.35">
      <c r="A15" s="142">
        <f>A14+200</f>
        <v>703</v>
      </c>
      <c r="B15" s="146" t="s">
        <v>206</v>
      </c>
      <c r="C15" s="76">
        <f>C14</f>
        <v>4.5661437908496731</v>
      </c>
      <c r="D15" s="74">
        <v>1</v>
      </c>
      <c r="E15" s="77">
        <f>C15/(1-$C$1-$C$2-$F$5)</f>
        <v>35.396463494958695</v>
      </c>
      <c r="F15" s="155">
        <f>IFERROR(C15/G15,"")+$F$5</f>
        <v>0.30000000000000004</v>
      </c>
      <c r="G15" s="167">
        <f t="shared" si="0"/>
        <v>35.396463494958695</v>
      </c>
      <c r="H15" s="78">
        <f>IF(G15="","",G15-C15-($F$5)*G15)</f>
        <v>24.777524446471084</v>
      </c>
      <c r="I15" s="79">
        <f t="shared" ref="I15:I16" si="6">IF(G15="","",H15/G15)</f>
        <v>0.7</v>
      </c>
      <c r="J15" s="80">
        <f t="shared" si="2"/>
        <v>17.698231747479344</v>
      </c>
      <c r="K15" s="127">
        <f t="shared" si="3"/>
        <v>0.49999999999999989</v>
      </c>
    </row>
    <row r="16" spans="1:17" ht="20.100000000000001" customHeight="1" thickBot="1" x14ac:dyDescent="0.35">
      <c r="A16" s="142">
        <f>A14+400</f>
        <v>903</v>
      </c>
      <c r="B16" s="146" t="s">
        <v>232</v>
      </c>
      <c r="C16" s="76">
        <f>C14</f>
        <v>4.5661437908496731</v>
      </c>
      <c r="D16" s="74">
        <v>1</v>
      </c>
      <c r="E16" s="77">
        <f>C16/(1-$C$1-$C$2-$F$6)</f>
        <v>26.859669357939246</v>
      </c>
      <c r="F16" s="155">
        <f>IFERROR(C16/G16,"")+$F$6</f>
        <v>0.30000000000000004</v>
      </c>
      <c r="G16" s="167">
        <f t="shared" si="0"/>
        <v>26.859669357939246</v>
      </c>
      <c r="H16" s="78">
        <f>IF(G16="","",G16-C16-($F$6)*G16)</f>
        <v>18.801768550557473</v>
      </c>
      <c r="I16" s="79">
        <f t="shared" si="6"/>
        <v>0.7</v>
      </c>
      <c r="J16" s="80">
        <f t="shared" si="2"/>
        <v>13.429834678969623</v>
      </c>
      <c r="K16" s="127">
        <f t="shared" si="3"/>
        <v>0.5</v>
      </c>
    </row>
    <row r="17" spans="1:11" ht="20.100000000000001" customHeight="1" thickBot="1" x14ac:dyDescent="0.35">
      <c r="A17" s="141">
        <f t="shared" si="4"/>
        <v>504</v>
      </c>
      <c r="B17" s="145" t="s">
        <v>139</v>
      </c>
      <c r="C17" s="109">
        <f>'BRIG COLHER'!C4:D4</f>
        <v>9</v>
      </c>
      <c r="D17" s="114">
        <v>1</v>
      </c>
      <c r="E17" s="111">
        <f>C17/(1-$C$1-$C$2-$F$4)</f>
        <v>35.913806863527526</v>
      </c>
      <c r="F17" s="155">
        <f>IFERROR(C17/G17,"")+$F$4</f>
        <v>0.30000000000000004</v>
      </c>
      <c r="G17" s="167">
        <f t="shared" si="0"/>
        <v>35.913806863527526</v>
      </c>
      <c r="H17" s="112">
        <f>IF(G17="","",G17-C17-($F$4)*G17)</f>
        <v>25.139664804469266</v>
      </c>
      <c r="I17" s="113">
        <f>IF(G17="","",H17/G17)</f>
        <v>0.7</v>
      </c>
      <c r="J17" s="111">
        <f t="shared" si="2"/>
        <v>17.956903431763759</v>
      </c>
      <c r="K17" s="117">
        <f t="shared" si="3"/>
        <v>0.49999999999999989</v>
      </c>
    </row>
    <row r="18" spans="1:11" ht="20.100000000000001" customHeight="1" thickBot="1" x14ac:dyDescent="0.35">
      <c r="A18" s="142">
        <f>A17+200</f>
        <v>704</v>
      </c>
      <c r="B18" s="146" t="s">
        <v>207</v>
      </c>
      <c r="C18" s="76">
        <f>C17</f>
        <v>9</v>
      </c>
      <c r="D18" s="74">
        <v>1</v>
      </c>
      <c r="E18" s="77">
        <f>C18/(1-$C$1-$C$2-$F$5)</f>
        <v>69.767441860465098</v>
      </c>
      <c r="F18" s="155">
        <f>IFERROR(C18/G18,"")+$F$5</f>
        <v>0.30000000000000004</v>
      </c>
      <c r="G18" s="167">
        <f t="shared" si="0"/>
        <v>69.767441860465098</v>
      </c>
      <c r="H18" s="78">
        <f>IF(G18="","",G18-C18-($F$5)*G18)</f>
        <v>48.837209302325562</v>
      </c>
      <c r="I18" s="79">
        <f t="shared" ref="I18:I19" si="7">IF(G18="","",H18/G18)</f>
        <v>0.69999999999999984</v>
      </c>
      <c r="J18" s="80">
        <f t="shared" si="2"/>
        <v>34.883720930232542</v>
      </c>
      <c r="K18" s="127">
        <f t="shared" si="3"/>
        <v>0.49999999999999989</v>
      </c>
    </row>
    <row r="19" spans="1:11" ht="20.100000000000001" customHeight="1" thickBot="1" x14ac:dyDescent="0.35">
      <c r="A19" s="142">
        <f>A17+400</f>
        <v>904</v>
      </c>
      <c r="B19" s="146" t="s">
        <v>233</v>
      </c>
      <c r="C19" s="76">
        <f>C17</f>
        <v>9</v>
      </c>
      <c r="D19" s="74">
        <v>1</v>
      </c>
      <c r="E19" s="77">
        <f>C19/(1-$C$1-$C$2-$F$6)</f>
        <v>52.941176470588225</v>
      </c>
      <c r="F19" s="155">
        <f>IFERROR(C19/G19,"")+$F$6</f>
        <v>0.30000000000000004</v>
      </c>
      <c r="G19" s="167">
        <f t="shared" si="0"/>
        <v>52.941176470588225</v>
      </c>
      <c r="H19" s="78">
        <f>IF(G19="","",G19-C19-($F$6)*G19)</f>
        <v>37.058823529411754</v>
      </c>
      <c r="I19" s="79">
        <f t="shared" si="7"/>
        <v>0.7</v>
      </c>
      <c r="J19" s="80">
        <f t="shared" si="2"/>
        <v>26.470588235294109</v>
      </c>
      <c r="K19" s="127">
        <f t="shared" si="3"/>
        <v>0.49999999999999994</v>
      </c>
    </row>
    <row r="20" spans="1:11" ht="20.100000000000001" customHeight="1" thickBot="1" x14ac:dyDescent="0.35">
      <c r="A20" s="141">
        <f t="shared" si="4"/>
        <v>505</v>
      </c>
      <c r="B20" s="145" t="s">
        <v>140</v>
      </c>
      <c r="C20" s="109">
        <f>'BRIG UNITARIO'!C3:D3</f>
        <v>2.525127450980392</v>
      </c>
      <c r="D20" s="114">
        <v>1</v>
      </c>
      <c r="E20" s="111">
        <f>C20/(1-$C$1-$C$2-$F$4)</f>
        <v>10.076326620033486</v>
      </c>
      <c r="F20" s="155">
        <f>IFERROR(C20/G20,"")+$F$4</f>
        <v>0.30000000000000004</v>
      </c>
      <c r="G20" s="167">
        <f t="shared" si="0"/>
        <v>10.076326620033486</v>
      </c>
      <c r="H20" s="112">
        <f>IF(G20="","",G20-C20-($F$4)*G20)</f>
        <v>7.0534286340234393</v>
      </c>
      <c r="I20" s="113">
        <f>IF(G20="","",H20/G20)</f>
        <v>0.7</v>
      </c>
      <c r="J20" s="111">
        <f t="shared" si="2"/>
        <v>5.038163310016742</v>
      </c>
      <c r="K20" s="117">
        <f t="shared" si="3"/>
        <v>0.49999999999999989</v>
      </c>
    </row>
    <row r="21" spans="1:11" ht="20.100000000000001" customHeight="1" thickBot="1" x14ac:dyDescent="0.35">
      <c r="A21" s="142">
        <f>A20+200</f>
        <v>705</v>
      </c>
      <c r="B21" s="146" t="s">
        <v>208</v>
      </c>
      <c r="C21" s="76">
        <f>C20</f>
        <v>2.525127450980392</v>
      </c>
      <c r="D21" s="74">
        <v>1</v>
      </c>
      <c r="E21" s="77">
        <f>C21/(1-$C$1-$C$2-$F$5)</f>
        <v>19.574631402948771</v>
      </c>
      <c r="F21" s="155">
        <f>IFERROR(C21/G21,"")+$F$5</f>
        <v>0.30000000000000004</v>
      </c>
      <c r="G21" s="167">
        <f t="shared" si="0"/>
        <v>19.574631402948771</v>
      </c>
      <c r="H21" s="78">
        <f>IF(G21="","",G21-C21-($F$5)*G21)</f>
        <v>13.702241982064139</v>
      </c>
      <c r="I21" s="79">
        <f t="shared" ref="I21:I22" si="8">IF(G21="","",H21/G21)</f>
        <v>0.7</v>
      </c>
      <c r="J21" s="80">
        <f t="shared" si="2"/>
        <v>9.7873157014743839</v>
      </c>
      <c r="K21" s="127">
        <f t="shared" si="3"/>
        <v>0.49999999999999989</v>
      </c>
    </row>
    <row r="22" spans="1:11" ht="20.100000000000001" customHeight="1" thickBot="1" x14ac:dyDescent="0.35">
      <c r="A22" s="142">
        <f>A20+400</f>
        <v>905</v>
      </c>
      <c r="B22" s="146" t="s">
        <v>234</v>
      </c>
      <c r="C22" s="76">
        <f>C20</f>
        <v>2.525127450980392</v>
      </c>
      <c r="D22" s="74">
        <v>1</v>
      </c>
      <c r="E22" s="77">
        <f>C22/(1-$C$1-$C$2-$F$6)</f>
        <v>14.853690888119949</v>
      </c>
      <c r="F22" s="155">
        <f>IFERROR(C22/G22,"")+$F$6</f>
        <v>0.30000000000000004</v>
      </c>
      <c r="G22" s="167">
        <f t="shared" si="0"/>
        <v>14.853690888119949</v>
      </c>
      <c r="H22" s="78">
        <f>IF(G22="","",G22-C22-($F$6)*G22)</f>
        <v>10.397583621683964</v>
      </c>
      <c r="I22" s="79">
        <f t="shared" si="8"/>
        <v>0.7</v>
      </c>
      <c r="J22" s="80">
        <f t="shared" si="2"/>
        <v>7.4268454440599738</v>
      </c>
      <c r="K22" s="127">
        <f t="shared" si="3"/>
        <v>0.49999999999999994</v>
      </c>
    </row>
    <row r="23" spans="1:11" ht="20.100000000000001" customHeight="1" thickBot="1" x14ac:dyDescent="0.35">
      <c r="A23" s="141">
        <f t="shared" si="4"/>
        <v>506</v>
      </c>
      <c r="B23" s="145" t="s">
        <v>142</v>
      </c>
      <c r="C23" s="109"/>
      <c r="D23" s="114">
        <v>1</v>
      </c>
      <c r="E23" s="111">
        <f>C23/(1-$C$1-$C$2-$F$4)</f>
        <v>0</v>
      </c>
      <c r="F23" s="155" t="e">
        <f>IFERROR(C23/G23,"")+$F$4</f>
        <v>#VALUE!</v>
      </c>
      <c r="G23" s="167">
        <f t="shared" si="0"/>
        <v>0</v>
      </c>
      <c r="H23" s="112">
        <f>IF(G23="","",G23-C23-($F$4)*G23)</f>
        <v>0</v>
      </c>
      <c r="I23" s="113" t="e">
        <f>IF(G23="","",H23/G23)</f>
        <v>#DIV/0!</v>
      </c>
      <c r="J23" s="111">
        <f t="shared" si="2"/>
        <v>0</v>
      </c>
      <c r="K23" s="117" t="str">
        <f t="shared" si="3"/>
        <v/>
      </c>
    </row>
    <row r="24" spans="1:11" ht="20.100000000000001" customHeight="1" thickBot="1" x14ac:dyDescent="0.35">
      <c r="A24" s="142">
        <f>A23+200</f>
        <v>706</v>
      </c>
      <c r="B24" s="146" t="s">
        <v>209</v>
      </c>
      <c r="C24" s="76">
        <f>C23</f>
        <v>0</v>
      </c>
      <c r="D24" s="74">
        <v>1</v>
      </c>
      <c r="E24" s="77">
        <f>C24/(1-$C$1-$C$2-$F$5)</f>
        <v>0</v>
      </c>
      <c r="F24" s="155" t="e">
        <f>IFERROR(C24/G24,"")+$F$5</f>
        <v>#VALUE!</v>
      </c>
      <c r="G24" s="167">
        <f t="shared" si="0"/>
        <v>0</v>
      </c>
      <c r="H24" s="78">
        <f>IF(G24="","",G24-C24-($F$5)*G24)</f>
        <v>0</v>
      </c>
      <c r="I24" s="79" t="e">
        <f t="shared" ref="I24:I25" si="9">IF(G24="","",H24/G24)</f>
        <v>#DIV/0!</v>
      </c>
      <c r="J24" s="80">
        <f t="shared" si="2"/>
        <v>0</v>
      </c>
      <c r="K24" s="127" t="str">
        <f t="shared" si="3"/>
        <v/>
      </c>
    </row>
    <row r="25" spans="1:11" ht="20.100000000000001" customHeight="1" thickBot="1" x14ac:dyDescent="0.35">
      <c r="A25" s="142">
        <f>A23+400</f>
        <v>906</v>
      </c>
      <c r="B25" s="146" t="s">
        <v>235</v>
      </c>
      <c r="C25" s="76">
        <f>C23</f>
        <v>0</v>
      </c>
      <c r="D25" s="74">
        <v>1</v>
      </c>
      <c r="E25" s="77">
        <f>C25/(1-$C$1-$C$2-$F$6)</f>
        <v>0</v>
      </c>
      <c r="F25" s="155" t="e">
        <f>IFERROR(C25/G25,"")+$F$6</f>
        <v>#VALUE!</v>
      </c>
      <c r="G25" s="167">
        <f t="shared" si="0"/>
        <v>0</v>
      </c>
      <c r="H25" s="78">
        <f>IF(G25="","",G25-C25-($F$6)*G25)</f>
        <v>0</v>
      </c>
      <c r="I25" s="79" t="e">
        <f t="shared" si="9"/>
        <v>#DIV/0!</v>
      </c>
      <c r="J25" s="80">
        <f t="shared" si="2"/>
        <v>0</v>
      </c>
      <c r="K25" s="127" t="str">
        <f t="shared" si="3"/>
        <v/>
      </c>
    </row>
    <row r="26" spans="1:11" ht="20.100000000000001" customHeight="1" thickBot="1" x14ac:dyDescent="0.35">
      <c r="A26" s="141">
        <f t="shared" si="4"/>
        <v>507</v>
      </c>
      <c r="B26" s="145" t="s">
        <v>141</v>
      </c>
      <c r="C26" s="109">
        <f>BEIJINHO!C4</f>
        <v>13</v>
      </c>
      <c r="D26" s="114">
        <v>1</v>
      </c>
      <c r="E26" s="111">
        <f>C26/(1-$C$1-$C$2-$F$4)</f>
        <v>51.875498802873096</v>
      </c>
      <c r="F26" s="155">
        <f>IFERROR(C26/G26,"")+$F$4</f>
        <v>0.30000000000000004</v>
      </c>
      <c r="G26" s="167">
        <f t="shared" si="0"/>
        <v>51.875498802873096</v>
      </c>
      <c r="H26" s="112">
        <f>IF(G26="","",G26-C26-($F$4)*G26)</f>
        <v>36.312849162011162</v>
      </c>
      <c r="I26" s="113">
        <f>IF(G26="","",H26/G26)</f>
        <v>0.69999999999999984</v>
      </c>
      <c r="J26" s="111">
        <f t="shared" si="2"/>
        <v>25.937749401436541</v>
      </c>
      <c r="K26" s="117">
        <f t="shared" si="3"/>
        <v>0.49999999999999989</v>
      </c>
    </row>
    <row r="27" spans="1:11" ht="20.100000000000001" customHeight="1" thickBot="1" x14ac:dyDescent="0.35">
      <c r="A27" s="142">
        <f>A26+200</f>
        <v>707</v>
      </c>
      <c r="B27" s="146" t="s">
        <v>210</v>
      </c>
      <c r="C27" s="76">
        <f>C26</f>
        <v>13</v>
      </c>
      <c r="D27" s="74">
        <v>1</v>
      </c>
      <c r="E27" s="77">
        <f>C27/(1-$C$1-$C$2-$F$5)</f>
        <v>100.77519379844959</v>
      </c>
      <c r="F27" s="155">
        <f>IFERROR(C27/G27,"")+$F$5</f>
        <v>0.30000000000000004</v>
      </c>
      <c r="G27" s="167">
        <f t="shared" si="0"/>
        <v>100.77519379844959</v>
      </c>
      <c r="H27" s="78">
        <f>IF(G27="","",G27-C27-($F$5)*G27)</f>
        <v>70.542635658914719</v>
      </c>
      <c r="I27" s="79">
        <f t="shared" ref="I27:I28" si="10">IF(G27="","",H27/G27)</f>
        <v>0.70000000000000007</v>
      </c>
      <c r="J27" s="80">
        <f t="shared" si="2"/>
        <v>50.387596899224803</v>
      </c>
      <c r="K27" s="127">
        <f t="shared" si="3"/>
        <v>0.50000000000000011</v>
      </c>
    </row>
    <row r="28" spans="1:11" ht="20.100000000000001" customHeight="1" thickBot="1" x14ac:dyDescent="0.35">
      <c r="A28" s="142">
        <f>A26+400</f>
        <v>907</v>
      </c>
      <c r="B28" s="146" t="s">
        <v>236</v>
      </c>
      <c r="C28" s="76">
        <f>C26</f>
        <v>13</v>
      </c>
      <c r="D28" s="74">
        <v>1</v>
      </c>
      <c r="E28" s="77">
        <f>C28/(1-$C$1-$C$2-$F$6)</f>
        <v>76.470588235294102</v>
      </c>
      <c r="F28" s="155">
        <f>IFERROR(C28/G28,"")+$F$6</f>
        <v>0.30000000000000004</v>
      </c>
      <c r="G28" s="167">
        <f t="shared" si="0"/>
        <v>76.470588235294102</v>
      </c>
      <c r="H28" s="78">
        <f>IF(G28="","",G28-C28-($F$6)*G28)</f>
        <v>53.52941176470587</v>
      </c>
      <c r="I28" s="79">
        <f t="shared" si="10"/>
        <v>0.7</v>
      </c>
      <c r="J28" s="80">
        <f t="shared" si="2"/>
        <v>38.235294117647051</v>
      </c>
      <c r="K28" s="127">
        <f t="shared" si="3"/>
        <v>0.5</v>
      </c>
    </row>
    <row r="29" spans="1:11" ht="20.100000000000001" customHeight="1" thickBot="1" x14ac:dyDescent="0.35">
      <c r="A29" s="141">
        <f t="shared" si="4"/>
        <v>508</v>
      </c>
      <c r="B29" s="145" t="s">
        <v>145</v>
      </c>
      <c r="C29" s="109">
        <f>ALFAJOR!C4</f>
        <v>13</v>
      </c>
      <c r="D29" s="114">
        <v>1</v>
      </c>
      <c r="E29" s="111">
        <f>C29/(1-$C$1-$C$2-$F$4)</f>
        <v>51.875498802873096</v>
      </c>
      <c r="F29" s="155">
        <f>IFERROR(C29/G29,"")+$F$4</f>
        <v>0.30000000000000004</v>
      </c>
      <c r="G29" s="167">
        <f t="shared" si="0"/>
        <v>51.875498802873096</v>
      </c>
      <c r="H29" s="112">
        <f>IF(G29="","",G29-C29-($F$4)*G29)</f>
        <v>36.312849162011162</v>
      </c>
      <c r="I29" s="113">
        <f>IF(G29="","",H29/G29)</f>
        <v>0.69999999999999984</v>
      </c>
      <c r="J29" s="111">
        <f t="shared" si="2"/>
        <v>25.937749401436541</v>
      </c>
      <c r="K29" s="117">
        <f t="shared" si="3"/>
        <v>0.49999999999999989</v>
      </c>
    </row>
    <row r="30" spans="1:11" ht="20.100000000000001" customHeight="1" thickBot="1" x14ac:dyDescent="0.35">
      <c r="A30" s="142">
        <f>A29+200</f>
        <v>708</v>
      </c>
      <c r="B30" s="146" t="s">
        <v>211</v>
      </c>
      <c r="C30" s="76">
        <f>C29</f>
        <v>13</v>
      </c>
      <c r="D30" s="74">
        <v>1</v>
      </c>
      <c r="E30" s="77">
        <f>C30/(1-$C$1-$C$2-$F$5)</f>
        <v>100.77519379844959</v>
      </c>
      <c r="F30" s="155">
        <f>IFERROR(C30/G30,"")+$F$5</f>
        <v>0.30000000000000004</v>
      </c>
      <c r="G30" s="167">
        <f t="shared" si="0"/>
        <v>100.77519379844959</v>
      </c>
      <c r="H30" s="78">
        <f>IF(G30="","",G30-C30-($F$5)*G30)</f>
        <v>70.542635658914719</v>
      </c>
      <c r="I30" s="79">
        <f t="shared" ref="I30:I31" si="11">IF(G30="","",H30/G30)</f>
        <v>0.70000000000000007</v>
      </c>
      <c r="J30" s="80">
        <f t="shared" si="2"/>
        <v>50.387596899224803</v>
      </c>
      <c r="K30" s="127">
        <f t="shared" si="3"/>
        <v>0.50000000000000011</v>
      </c>
    </row>
    <row r="31" spans="1:11" ht="20.100000000000001" customHeight="1" thickBot="1" x14ac:dyDescent="0.35">
      <c r="A31" s="142">
        <f>A29+400</f>
        <v>908</v>
      </c>
      <c r="B31" s="146" t="s">
        <v>237</v>
      </c>
      <c r="C31" s="76">
        <f>C29</f>
        <v>13</v>
      </c>
      <c r="D31" s="74">
        <v>1</v>
      </c>
      <c r="E31" s="77">
        <f>C31/(1-$C$1-$C$2-$F$6)</f>
        <v>76.470588235294102</v>
      </c>
      <c r="F31" s="155">
        <f>IFERROR(C31/G31,"")+$F$6</f>
        <v>0.30000000000000004</v>
      </c>
      <c r="G31" s="167">
        <f t="shared" si="0"/>
        <v>76.470588235294102</v>
      </c>
      <c r="H31" s="78">
        <f>IF(G31="","",G31-C31-($F$6)*G31)</f>
        <v>53.52941176470587</v>
      </c>
      <c r="I31" s="79">
        <f t="shared" si="11"/>
        <v>0.7</v>
      </c>
      <c r="J31" s="80">
        <f t="shared" si="2"/>
        <v>38.235294117647051</v>
      </c>
      <c r="K31" s="127">
        <f t="shared" si="3"/>
        <v>0.5</v>
      </c>
    </row>
    <row r="32" spans="1:11" ht="20.100000000000001" customHeight="1" thickBot="1" x14ac:dyDescent="0.35">
      <c r="A32" s="141">
        <f t="shared" si="4"/>
        <v>509</v>
      </c>
      <c r="B32" s="145" t="s">
        <v>147</v>
      </c>
      <c r="C32" s="109">
        <f>'PALHA ITALIANNA'!C4</f>
        <v>13</v>
      </c>
      <c r="D32" s="114">
        <v>1</v>
      </c>
      <c r="E32" s="111">
        <f>C32/(1-$C$1-$C$2-$F$4)</f>
        <v>51.875498802873096</v>
      </c>
      <c r="F32" s="155">
        <f>IFERROR(C32/G32,"")+$F$4</f>
        <v>0.30000000000000004</v>
      </c>
      <c r="G32" s="167">
        <f t="shared" si="0"/>
        <v>51.875498802873096</v>
      </c>
      <c r="H32" s="112">
        <f>IF(G32="","",G32-C32-($F$4)*G32)</f>
        <v>36.312849162011162</v>
      </c>
      <c r="I32" s="113">
        <f>IF(G32="","",H32/G32)</f>
        <v>0.69999999999999984</v>
      </c>
      <c r="J32" s="111">
        <f t="shared" si="2"/>
        <v>25.937749401436541</v>
      </c>
      <c r="K32" s="117">
        <f t="shared" si="3"/>
        <v>0.49999999999999989</v>
      </c>
    </row>
    <row r="33" spans="1:11" ht="20.100000000000001" customHeight="1" thickBot="1" x14ac:dyDescent="0.35">
      <c r="A33" s="142">
        <f>A32+200</f>
        <v>709</v>
      </c>
      <c r="B33" s="146" t="s">
        <v>212</v>
      </c>
      <c r="C33" s="76">
        <f>C32</f>
        <v>13</v>
      </c>
      <c r="D33" s="74">
        <v>1</v>
      </c>
      <c r="E33" s="77">
        <f>C33/(1-$C$1-$C$2-$F$5)</f>
        <v>100.77519379844959</v>
      </c>
      <c r="F33" s="155">
        <f>IFERROR(C33/G33,"")+$F$5</f>
        <v>0.30000000000000004</v>
      </c>
      <c r="G33" s="167">
        <f t="shared" si="0"/>
        <v>100.77519379844959</v>
      </c>
      <c r="H33" s="78">
        <f>IF(G33="","",G33-C33-($F$5)*G33)</f>
        <v>70.542635658914719</v>
      </c>
      <c r="I33" s="79">
        <f t="shared" ref="I33:I34" si="12">IF(G33="","",H33/G33)</f>
        <v>0.70000000000000007</v>
      </c>
      <c r="J33" s="80">
        <f t="shared" si="2"/>
        <v>50.387596899224803</v>
      </c>
      <c r="K33" s="127">
        <f t="shared" si="3"/>
        <v>0.50000000000000011</v>
      </c>
    </row>
    <row r="34" spans="1:11" ht="20.100000000000001" customHeight="1" thickBot="1" x14ac:dyDescent="0.35">
      <c r="A34" s="142">
        <f>A32+400</f>
        <v>909</v>
      </c>
      <c r="B34" s="146" t="s">
        <v>238</v>
      </c>
      <c r="C34" s="76">
        <f>C32</f>
        <v>13</v>
      </c>
      <c r="D34" s="74">
        <v>1</v>
      </c>
      <c r="E34" s="77">
        <f>C34/(1-$C$1-$C$2-$F$6)</f>
        <v>76.470588235294102</v>
      </c>
      <c r="F34" s="155">
        <f>IFERROR(C34/G34,"")+$F$6</f>
        <v>0.30000000000000004</v>
      </c>
      <c r="G34" s="167">
        <f t="shared" si="0"/>
        <v>76.470588235294102</v>
      </c>
      <c r="H34" s="78">
        <f>IF(G34="","",G34-C34-($F$6)*G34)</f>
        <v>53.52941176470587</v>
      </c>
      <c r="I34" s="79">
        <f t="shared" si="12"/>
        <v>0.7</v>
      </c>
      <c r="J34" s="80">
        <f t="shared" si="2"/>
        <v>38.235294117647051</v>
      </c>
      <c r="K34" s="127">
        <f t="shared" si="3"/>
        <v>0.5</v>
      </c>
    </row>
    <row r="35" spans="1:11" ht="20.100000000000001" customHeight="1" thickBot="1" x14ac:dyDescent="0.35">
      <c r="A35" s="141">
        <f t="shared" si="4"/>
        <v>510</v>
      </c>
      <c r="B35" s="145" t="s">
        <v>177</v>
      </c>
      <c r="C35" s="109">
        <f>'EMPADA DE FRANGO'!C4:D4</f>
        <v>13</v>
      </c>
      <c r="D35" s="114">
        <v>1</v>
      </c>
      <c r="E35" s="111">
        <f>C35/(1-$C$1-$C$2-$F$4)</f>
        <v>51.875498802873096</v>
      </c>
      <c r="F35" s="155">
        <f>IFERROR(C35/G35,"")+$F$4</f>
        <v>0.30000000000000004</v>
      </c>
      <c r="G35" s="167">
        <f t="shared" si="0"/>
        <v>51.875498802873096</v>
      </c>
      <c r="H35" s="112">
        <f>IF(G35="","",G35-C35-($F$4)*G35)</f>
        <v>36.312849162011162</v>
      </c>
      <c r="I35" s="113">
        <f>IF(G35="","",H35/G35)</f>
        <v>0.69999999999999984</v>
      </c>
      <c r="J35" s="111">
        <f t="shared" si="2"/>
        <v>25.937749401436541</v>
      </c>
      <c r="K35" s="117">
        <f t="shared" si="3"/>
        <v>0.49999999999999989</v>
      </c>
    </row>
    <row r="36" spans="1:11" ht="20.100000000000001" customHeight="1" thickBot="1" x14ac:dyDescent="0.35">
      <c r="A36" s="142">
        <f>A35+200</f>
        <v>710</v>
      </c>
      <c r="B36" s="146" t="s">
        <v>213</v>
      </c>
      <c r="C36" s="76">
        <f>C35</f>
        <v>13</v>
      </c>
      <c r="D36" s="74">
        <v>1</v>
      </c>
      <c r="E36" s="77">
        <f>C36/(1-$C$1-$C$2-$F$5)</f>
        <v>100.77519379844959</v>
      </c>
      <c r="F36" s="155">
        <f>IFERROR(C36/G36,"")+$F$5</f>
        <v>0.30000000000000004</v>
      </c>
      <c r="G36" s="167">
        <f t="shared" si="0"/>
        <v>100.77519379844959</v>
      </c>
      <c r="H36" s="78">
        <f>IF(G36="","",G36-C36-($F$5)*G36)</f>
        <v>70.542635658914719</v>
      </c>
      <c r="I36" s="79">
        <f t="shared" ref="I36:I37" si="13">IF(G36="","",H36/G36)</f>
        <v>0.70000000000000007</v>
      </c>
      <c r="J36" s="80">
        <f t="shared" si="2"/>
        <v>50.387596899224803</v>
      </c>
      <c r="K36" s="127">
        <f t="shared" si="3"/>
        <v>0.50000000000000011</v>
      </c>
    </row>
    <row r="37" spans="1:11" ht="20.100000000000001" customHeight="1" thickBot="1" x14ac:dyDescent="0.35">
      <c r="A37" s="142">
        <f>A35+400</f>
        <v>910</v>
      </c>
      <c r="B37" s="146" t="s">
        <v>239</v>
      </c>
      <c r="C37" s="76">
        <f>C35</f>
        <v>13</v>
      </c>
      <c r="D37" s="74">
        <v>1</v>
      </c>
      <c r="E37" s="77">
        <f>C37/(1-$C$1-$C$2-$F$6)</f>
        <v>76.470588235294102</v>
      </c>
      <c r="F37" s="155">
        <f>IFERROR(C37/G37,"")+$F$6</f>
        <v>0.30000000000000004</v>
      </c>
      <c r="G37" s="167">
        <f t="shared" si="0"/>
        <v>76.470588235294102</v>
      </c>
      <c r="H37" s="78">
        <f>IF(G37="","",G37-C37-($F$6)*G37)</f>
        <v>53.52941176470587</v>
      </c>
      <c r="I37" s="79">
        <f t="shared" si="13"/>
        <v>0.7</v>
      </c>
      <c r="J37" s="80">
        <f t="shared" si="2"/>
        <v>38.235294117647051</v>
      </c>
      <c r="K37" s="127">
        <f t="shared" si="3"/>
        <v>0.5</v>
      </c>
    </row>
    <row r="38" spans="1:11" ht="20.100000000000001" customHeight="1" thickBot="1" x14ac:dyDescent="0.35">
      <c r="A38" s="141">
        <f t="shared" si="4"/>
        <v>511</v>
      </c>
      <c r="B38" s="145" t="s">
        <v>153</v>
      </c>
      <c r="C38" s="109">
        <f>'QUICHE DE FRANGO'!C4:D4</f>
        <v>13</v>
      </c>
      <c r="D38" s="114">
        <v>1</v>
      </c>
      <c r="E38" s="111">
        <f>C38/(1-$C$1-$C$2-$F$4)</f>
        <v>51.875498802873096</v>
      </c>
      <c r="F38" s="155">
        <f>IFERROR(C38/G38,"")+$F$4</f>
        <v>0.30000000000000004</v>
      </c>
      <c r="G38" s="167">
        <f t="shared" si="0"/>
        <v>51.875498802873096</v>
      </c>
      <c r="H38" s="112">
        <f>IF(G38="","",G38-C38-($F$4)*G38)</f>
        <v>36.312849162011162</v>
      </c>
      <c r="I38" s="113">
        <f>IF(G38="","",H38/G38)</f>
        <v>0.69999999999999984</v>
      </c>
      <c r="J38" s="111">
        <f t="shared" si="2"/>
        <v>25.937749401436541</v>
      </c>
      <c r="K38" s="117">
        <f t="shared" si="3"/>
        <v>0.49999999999999989</v>
      </c>
    </row>
    <row r="39" spans="1:11" ht="20.100000000000001" customHeight="1" thickBot="1" x14ac:dyDescent="0.35">
      <c r="A39" s="142">
        <f>A38+200</f>
        <v>711</v>
      </c>
      <c r="B39" s="146" t="s">
        <v>214</v>
      </c>
      <c r="C39" s="76">
        <f>C38</f>
        <v>13</v>
      </c>
      <c r="D39" s="74">
        <v>1</v>
      </c>
      <c r="E39" s="77">
        <f>C39/(1-$C$1-$C$2-$F$5)</f>
        <v>100.77519379844959</v>
      </c>
      <c r="F39" s="155">
        <f>IFERROR(C39/G39,"")+$F$5</f>
        <v>0.30000000000000004</v>
      </c>
      <c r="G39" s="167">
        <f t="shared" si="0"/>
        <v>100.77519379844959</v>
      </c>
      <c r="H39" s="78">
        <f>IF(G39="","",G39-C39-($F$5)*G39)</f>
        <v>70.542635658914719</v>
      </c>
      <c r="I39" s="79">
        <f t="shared" ref="I39:I40" si="14">IF(G39="","",H39/G39)</f>
        <v>0.70000000000000007</v>
      </c>
      <c r="J39" s="80">
        <f t="shared" si="2"/>
        <v>50.387596899224803</v>
      </c>
      <c r="K39" s="127">
        <f t="shared" si="3"/>
        <v>0.50000000000000011</v>
      </c>
    </row>
    <row r="40" spans="1:11" ht="20.100000000000001" customHeight="1" thickBot="1" x14ac:dyDescent="0.35">
      <c r="A40" s="142">
        <f>A38+400</f>
        <v>911</v>
      </c>
      <c r="B40" s="146" t="s">
        <v>253</v>
      </c>
      <c r="C40" s="76">
        <f>C38</f>
        <v>13</v>
      </c>
      <c r="D40" s="74">
        <v>1</v>
      </c>
      <c r="E40" s="77">
        <f>C40/(1-$C$1-$C$2-$F$6)</f>
        <v>76.470588235294102</v>
      </c>
      <c r="F40" s="155">
        <f>IFERROR(C40/G40,"")+$F$6</f>
        <v>0.30000000000000004</v>
      </c>
      <c r="G40" s="167">
        <f t="shared" si="0"/>
        <v>76.470588235294102</v>
      </c>
      <c r="H40" s="78">
        <f>IF(G40="","",G40-C40-($F$6)*G40)</f>
        <v>53.52941176470587</v>
      </c>
      <c r="I40" s="79">
        <f t="shared" si="14"/>
        <v>0.7</v>
      </c>
      <c r="J40" s="80">
        <f t="shared" si="2"/>
        <v>38.235294117647051</v>
      </c>
      <c r="K40" s="127">
        <f t="shared" si="3"/>
        <v>0.5</v>
      </c>
    </row>
    <row r="41" spans="1:11" ht="20.100000000000001" customHeight="1" thickBot="1" x14ac:dyDescent="0.35">
      <c r="A41" s="141">
        <f t="shared" si="4"/>
        <v>512</v>
      </c>
      <c r="B41" s="145" t="s">
        <v>154</v>
      </c>
      <c r="C41" s="109">
        <f>'QUICHE BACON'!C4:D4</f>
        <v>13</v>
      </c>
      <c r="D41" s="114">
        <v>1</v>
      </c>
      <c r="E41" s="111">
        <f>C41/(1-$C$1-$C$2-$F$4)</f>
        <v>51.875498802873096</v>
      </c>
      <c r="F41" s="155">
        <f>IFERROR(C41/G41,"")+$F$4</f>
        <v>0.30000000000000004</v>
      </c>
      <c r="G41" s="167">
        <f t="shared" si="0"/>
        <v>51.875498802873096</v>
      </c>
      <c r="H41" s="112">
        <f>IF(G41="","",G41-C41-($F$4)*G41)</f>
        <v>36.312849162011162</v>
      </c>
      <c r="I41" s="113">
        <f>IF(G41="","",H41/G41)</f>
        <v>0.69999999999999984</v>
      </c>
      <c r="J41" s="111">
        <f t="shared" si="2"/>
        <v>25.937749401436541</v>
      </c>
      <c r="K41" s="117">
        <f t="shared" si="3"/>
        <v>0.49999999999999989</v>
      </c>
    </row>
    <row r="42" spans="1:11" ht="20.100000000000001" customHeight="1" thickBot="1" x14ac:dyDescent="0.35">
      <c r="A42" s="142">
        <f>A41+200</f>
        <v>712</v>
      </c>
      <c r="B42" s="146" t="s">
        <v>231</v>
      </c>
      <c r="C42" s="76">
        <f>C41</f>
        <v>13</v>
      </c>
      <c r="D42" s="74">
        <v>1</v>
      </c>
      <c r="E42" s="77">
        <f>C42/(1-$C$1-$C$2-$F$5)</f>
        <v>100.77519379844959</v>
      </c>
      <c r="F42" s="155">
        <f>IFERROR(C42/G42,"")+$F$5</f>
        <v>0.30000000000000004</v>
      </c>
      <c r="G42" s="167">
        <f t="shared" si="0"/>
        <v>100.77519379844959</v>
      </c>
      <c r="H42" s="78">
        <f>IF(G42="","",G42-C42-($F$5)*G42)</f>
        <v>70.542635658914719</v>
      </c>
      <c r="I42" s="79">
        <f t="shared" ref="I42:I43" si="15">IF(G42="","",H42/G42)</f>
        <v>0.70000000000000007</v>
      </c>
      <c r="J42" s="80">
        <f t="shared" si="2"/>
        <v>50.387596899224803</v>
      </c>
      <c r="K42" s="127">
        <f t="shared" si="3"/>
        <v>0.50000000000000011</v>
      </c>
    </row>
    <row r="43" spans="1:11" ht="20.100000000000001" customHeight="1" thickBot="1" x14ac:dyDescent="0.35">
      <c r="A43" s="142">
        <f>A41+400</f>
        <v>912</v>
      </c>
      <c r="B43" s="146" t="s">
        <v>240</v>
      </c>
      <c r="C43" s="76">
        <f>C41</f>
        <v>13</v>
      </c>
      <c r="D43" s="74">
        <v>1</v>
      </c>
      <c r="E43" s="77">
        <f>C43/(1-$C$1-$C$2-$F$6)</f>
        <v>76.470588235294102</v>
      </c>
      <c r="F43" s="155">
        <f>IFERROR(C43/G43,"")+$F$6</f>
        <v>0.30000000000000004</v>
      </c>
      <c r="G43" s="167">
        <f t="shared" si="0"/>
        <v>76.470588235294102</v>
      </c>
      <c r="H43" s="78">
        <f>IF(G43="","",G43-C43-($F$6)*G43)</f>
        <v>53.52941176470587</v>
      </c>
      <c r="I43" s="79">
        <f t="shared" si="15"/>
        <v>0.7</v>
      </c>
      <c r="J43" s="80">
        <f t="shared" si="2"/>
        <v>38.235294117647051</v>
      </c>
      <c r="K43" s="127">
        <f t="shared" si="3"/>
        <v>0.5</v>
      </c>
    </row>
    <row r="44" spans="1:11" ht="20.100000000000001" customHeight="1" thickBot="1" x14ac:dyDescent="0.35">
      <c r="A44" s="141">
        <f t="shared" ref="A44:A74" si="16">A41+1</f>
        <v>513</v>
      </c>
      <c r="B44" s="145" t="s">
        <v>155</v>
      </c>
      <c r="C44" s="109">
        <f>CHARGE!C4</f>
        <v>13</v>
      </c>
      <c r="D44" s="114">
        <v>1</v>
      </c>
      <c r="E44" s="111">
        <f>C44/(1-$C$1-$C$2-$F$4)</f>
        <v>51.875498802873096</v>
      </c>
      <c r="F44" s="155">
        <f>IFERROR(C44/G44,"")+$F$4</f>
        <v>0.30000000000000004</v>
      </c>
      <c r="G44" s="167">
        <f t="shared" si="0"/>
        <v>51.875498802873096</v>
      </c>
      <c r="H44" s="112">
        <f>IF(G44="","",G44-C44-($F$4)*G44)</f>
        <v>36.312849162011162</v>
      </c>
      <c r="I44" s="113">
        <f>IF(G44="","",H44/G44)</f>
        <v>0.69999999999999984</v>
      </c>
      <c r="J44" s="111">
        <f t="shared" si="2"/>
        <v>25.937749401436541</v>
      </c>
      <c r="K44" s="117">
        <f t="shared" si="3"/>
        <v>0.49999999999999989</v>
      </c>
    </row>
    <row r="45" spans="1:11" ht="20.100000000000001" customHeight="1" thickBot="1" x14ac:dyDescent="0.35">
      <c r="A45" s="142">
        <f>A44+200</f>
        <v>713</v>
      </c>
      <c r="B45" s="146" t="s">
        <v>215</v>
      </c>
      <c r="C45" s="76">
        <f>C44</f>
        <v>13</v>
      </c>
      <c r="D45" s="74">
        <v>1</v>
      </c>
      <c r="E45" s="77">
        <f>C45/(1-$C$1-$C$2-$F$5)</f>
        <v>100.77519379844959</v>
      </c>
      <c r="F45" s="155">
        <f>IFERROR(C45/G45,"")+$F$5</f>
        <v>0.30000000000000004</v>
      </c>
      <c r="G45" s="167">
        <f t="shared" si="0"/>
        <v>100.77519379844959</v>
      </c>
      <c r="H45" s="78">
        <f>IF(G45="","",G45-C45-($F$5)*G45)</f>
        <v>70.542635658914719</v>
      </c>
      <c r="I45" s="79">
        <f t="shared" ref="I45:I46" si="17">IF(G45="","",H45/G45)</f>
        <v>0.70000000000000007</v>
      </c>
      <c r="J45" s="80">
        <f t="shared" si="2"/>
        <v>50.387596899224803</v>
      </c>
      <c r="K45" s="127">
        <f t="shared" si="3"/>
        <v>0.50000000000000011</v>
      </c>
    </row>
    <row r="46" spans="1:11" ht="20.100000000000001" customHeight="1" thickBot="1" x14ac:dyDescent="0.35">
      <c r="A46" s="142">
        <f>A44+400</f>
        <v>913</v>
      </c>
      <c r="B46" s="146" t="s">
        <v>252</v>
      </c>
      <c r="C46" s="76">
        <f>C45</f>
        <v>13</v>
      </c>
      <c r="D46" s="74">
        <v>1</v>
      </c>
      <c r="E46" s="77">
        <f>C46/(1-$C$1-$C$2-$F$6)</f>
        <v>76.470588235294102</v>
      </c>
      <c r="F46" s="155">
        <f>IFERROR(C46/G46,"")+$F$6</f>
        <v>0.30000000000000004</v>
      </c>
      <c r="G46" s="167">
        <f t="shared" si="0"/>
        <v>76.470588235294102</v>
      </c>
      <c r="H46" s="78">
        <f>IF(G46="","",G46-C46-($F$6)*G46)</f>
        <v>53.52941176470587</v>
      </c>
      <c r="I46" s="79">
        <f t="shared" si="17"/>
        <v>0.7</v>
      </c>
      <c r="J46" s="80">
        <f t="shared" si="2"/>
        <v>38.235294117647051</v>
      </c>
      <c r="K46" s="127">
        <f t="shared" si="3"/>
        <v>0.5</v>
      </c>
    </row>
    <row r="47" spans="1:11" ht="20.100000000000001" customHeight="1" thickBot="1" x14ac:dyDescent="0.35">
      <c r="A47" s="141">
        <f t="shared" si="16"/>
        <v>514</v>
      </c>
      <c r="B47" s="145" t="s">
        <v>178</v>
      </c>
      <c r="C47" s="109">
        <f>'BISCOITINHO DE COCO COM CANELA'!C4:D4</f>
        <v>13</v>
      </c>
      <c r="D47" s="114">
        <v>1</v>
      </c>
      <c r="E47" s="111">
        <f>C47/(1-$C$1-$C$2-$F$4)</f>
        <v>51.875498802873096</v>
      </c>
      <c r="F47" s="155">
        <f>IFERROR(C47/G47,"")+$F$4</f>
        <v>0.30000000000000004</v>
      </c>
      <c r="G47" s="167">
        <f t="shared" si="0"/>
        <v>51.875498802873096</v>
      </c>
      <c r="H47" s="112">
        <f>IF(G47="","",G47-C47-($F$4)*G47)</f>
        <v>36.312849162011162</v>
      </c>
      <c r="I47" s="113">
        <f>IF(G47="","",H47/G47)</f>
        <v>0.69999999999999984</v>
      </c>
      <c r="J47" s="111">
        <f t="shared" si="2"/>
        <v>25.937749401436541</v>
      </c>
      <c r="K47" s="117">
        <f t="shared" si="3"/>
        <v>0.49999999999999989</v>
      </c>
    </row>
    <row r="48" spans="1:11" ht="20.100000000000001" customHeight="1" thickBot="1" x14ac:dyDescent="0.35">
      <c r="A48" s="142">
        <f>A47+200</f>
        <v>714</v>
      </c>
      <c r="B48" s="146" t="s">
        <v>230</v>
      </c>
      <c r="C48" s="76">
        <f>C47</f>
        <v>13</v>
      </c>
      <c r="D48" s="74">
        <v>1</v>
      </c>
      <c r="E48" s="77">
        <f>C48/(1-$C$1-$C$2-$F$5)</f>
        <v>100.77519379844959</v>
      </c>
      <c r="F48" s="155">
        <f>IFERROR(C48/G48,"")+$F$5</f>
        <v>0.30000000000000004</v>
      </c>
      <c r="G48" s="167">
        <f t="shared" si="0"/>
        <v>100.77519379844959</v>
      </c>
      <c r="H48" s="78">
        <f>IF(G48="","",G48-C48-($F$5)*G48)</f>
        <v>70.542635658914719</v>
      </c>
      <c r="I48" s="79">
        <f t="shared" ref="I48:I49" si="18">IF(G48="","",H48/G48)</f>
        <v>0.70000000000000007</v>
      </c>
      <c r="J48" s="80">
        <f t="shared" si="2"/>
        <v>50.387596899224803</v>
      </c>
      <c r="K48" s="127">
        <f t="shared" si="3"/>
        <v>0.50000000000000011</v>
      </c>
    </row>
    <row r="49" spans="1:11" ht="20.100000000000001" customHeight="1" thickBot="1" x14ac:dyDescent="0.35">
      <c r="A49" s="142">
        <f>A47+400</f>
        <v>914</v>
      </c>
      <c r="B49" s="146" t="s">
        <v>251</v>
      </c>
      <c r="C49" s="76">
        <f>C48</f>
        <v>13</v>
      </c>
      <c r="D49" s="74">
        <v>1</v>
      </c>
      <c r="E49" s="77">
        <f>C49/(1-$C$1-$C$2-$F$6)</f>
        <v>76.470588235294102</v>
      </c>
      <c r="F49" s="155">
        <f>IFERROR(C49/G49,"")+$F$6</f>
        <v>0.30000000000000004</v>
      </c>
      <c r="G49" s="167">
        <f t="shared" si="0"/>
        <v>76.470588235294102</v>
      </c>
      <c r="H49" s="78">
        <f>IF(G49="","",G49-C49-($F$6)*G49)</f>
        <v>53.52941176470587</v>
      </c>
      <c r="I49" s="79">
        <f t="shared" si="18"/>
        <v>0.7</v>
      </c>
      <c r="J49" s="80">
        <f t="shared" si="2"/>
        <v>38.235294117647051</v>
      </c>
      <c r="K49" s="127">
        <f t="shared" si="3"/>
        <v>0.5</v>
      </c>
    </row>
    <row r="50" spans="1:11" ht="20.100000000000001" customHeight="1" thickBot="1" x14ac:dyDescent="0.35">
      <c r="A50" s="141">
        <f t="shared" si="16"/>
        <v>515</v>
      </c>
      <c r="B50" s="145" t="s">
        <v>179</v>
      </c>
      <c r="C50" s="109">
        <f>'BISCOITINHO DE LIMÃO'!C4:D4</f>
        <v>13</v>
      </c>
      <c r="D50" s="114">
        <v>1</v>
      </c>
      <c r="E50" s="111">
        <f>C50/(1-$C$1-$C$2-$F$4)</f>
        <v>51.875498802873096</v>
      </c>
      <c r="F50" s="155">
        <f>IFERROR(C50/G50,"")+$F$4</f>
        <v>0.30000000000000004</v>
      </c>
      <c r="G50" s="167">
        <f t="shared" si="0"/>
        <v>51.875498802873096</v>
      </c>
      <c r="H50" s="112">
        <f>IF(G50="","",G50-C50-($F$4)*G50)</f>
        <v>36.312849162011162</v>
      </c>
      <c r="I50" s="113">
        <f>IF(G50="","",H50/G50)</f>
        <v>0.69999999999999984</v>
      </c>
      <c r="J50" s="111">
        <f t="shared" si="2"/>
        <v>25.937749401436541</v>
      </c>
      <c r="K50" s="117">
        <f t="shared" si="3"/>
        <v>0.49999999999999989</v>
      </c>
    </row>
    <row r="51" spans="1:11" ht="20.100000000000001" customHeight="1" thickBot="1" x14ac:dyDescent="0.35">
      <c r="A51" s="142">
        <f>A50+200</f>
        <v>715</v>
      </c>
      <c r="B51" s="146" t="s">
        <v>229</v>
      </c>
      <c r="C51" s="76">
        <f>C50</f>
        <v>13</v>
      </c>
      <c r="D51" s="74">
        <v>1</v>
      </c>
      <c r="E51" s="77">
        <f>C51/(1-$C$1-$C$2-$F$5)</f>
        <v>100.77519379844959</v>
      </c>
      <c r="F51" s="155">
        <f>IFERROR(C51/G51,"")+$F$5</f>
        <v>0.30000000000000004</v>
      </c>
      <c r="G51" s="167">
        <f t="shared" si="0"/>
        <v>100.77519379844959</v>
      </c>
      <c r="H51" s="78">
        <f>IF(G51="","",G51-C51-($F$5)*G51)</f>
        <v>70.542635658914719</v>
      </c>
      <c r="I51" s="79">
        <f t="shared" ref="I51:I52" si="19">IF(G51="","",H51/G51)</f>
        <v>0.70000000000000007</v>
      </c>
      <c r="J51" s="80">
        <f t="shared" si="2"/>
        <v>50.387596899224803</v>
      </c>
      <c r="K51" s="127">
        <f t="shared" si="3"/>
        <v>0.50000000000000011</v>
      </c>
    </row>
    <row r="52" spans="1:11" ht="20.100000000000001" customHeight="1" thickBot="1" x14ac:dyDescent="0.35">
      <c r="A52" s="142">
        <f>A50+400</f>
        <v>915</v>
      </c>
      <c r="B52" s="146" t="s">
        <v>250</v>
      </c>
      <c r="C52" s="76">
        <f>C50</f>
        <v>13</v>
      </c>
      <c r="D52" s="74">
        <v>1</v>
      </c>
      <c r="E52" s="77">
        <f>C52/(1-$C$1-$C$2-$F$6)</f>
        <v>76.470588235294102</v>
      </c>
      <c r="F52" s="155">
        <f>IFERROR(C52/G52,"")+$F$6</f>
        <v>0.30000000000000004</v>
      </c>
      <c r="G52" s="167">
        <f t="shared" si="0"/>
        <v>76.470588235294102</v>
      </c>
      <c r="H52" s="78">
        <f>IF(G52="","",G52-C52-($F$6)*G52)</f>
        <v>53.52941176470587</v>
      </c>
      <c r="I52" s="79">
        <f t="shared" si="19"/>
        <v>0.7</v>
      </c>
      <c r="J52" s="80">
        <f t="shared" si="2"/>
        <v>38.235294117647051</v>
      </c>
      <c r="K52" s="127">
        <f t="shared" si="3"/>
        <v>0.5</v>
      </c>
    </row>
    <row r="53" spans="1:11" ht="20.100000000000001" customHeight="1" thickBot="1" x14ac:dyDescent="0.35">
      <c r="A53" s="141">
        <f t="shared" si="16"/>
        <v>516</v>
      </c>
      <c r="B53" s="145" t="s">
        <v>180</v>
      </c>
      <c r="C53" s="109">
        <f>COOKIES!C4</f>
        <v>13</v>
      </c>
      <c r="D53" s="114">
        <v>1</v>
      </c>
      <c r="E53" s="111">
        <f>C53/(1-$C$1-$C$2-$F$4)</f>
        <v>51.875498802873096</v>
      </c>
      <c r="F53" s="155">
        <f>IFERROR(C53/G53,"")+$F$4</f>
        <v>0.30000000000000004</v>
      </c>
      <c r="G53" s="167">
        <f t="shared" si="0"/>
        <v>51.875498802873096</v>
      </c>
      <c r="H53" s="112">
        <f>IF(G53="","",G53-C53-($F$4)*G53)</f>
        <v>36.312849162011162</v>
      </c>
      <c r="I53" s="113">
        <f>IF(G53="","",H53/G53)</f>
        <v>0.69999999999999984</v>
      </c>
      <c r="J53" s="111">
        <f t="shared" si="2"/>
        <v>25.937749401436541</v>
      </c>
      <c r="K53" s="117">
        <f t="shared" si="3"/>
        <v>0.49999999999999989</v>
      </c>
    </row>
    <row r="54" spans="1:11" ht="20.100000000000001" customHeight="1" thickBot="1" x14ac:dyDescent="0.35">
      <c r="A54" s="142">
        <f>A53+200</f>
        <v>716</v>
      </c>
      <c r="B54" s="146" t="s">
        <v>228</v>
      </c>
      <c r="C54" s="76">
        <f>C53</f>
        <v>13</v>
      </c>
      <c r="D54" s="74">
        <v>1</v>
      </c>
      <c r="E54" s="77">
        <f>C54/(1-$C$1-$C$2-$F$5)</f>
        <v>100.77519379844959</v>
      </c>
      <c r="F54" s="155">
        <f>IFERROR(C54/G54,"")+$F$5</f>
        <v>0.30000000000000004</v>
      </c>
      <c r="G54" s="167">
        <f t="shared" si="0"/>
        <v>100.77519379844959</v>
      </c>
      <c r="H54" s="78">
        <f>IF(G54="","",G54-C54-($F$5)*G54)</f>
        <v>70.542635658914719</v>
      </c>
      <c r="I54" s="79">
        <f t="shared" ref="I54:I55" si="20">IF(G54="","",H54/G54)</f>
        <v>0.70000000000000007</v>
      </c>
      <c r="J54" s="80">
        <f t="shared" si="2"/>
        <v>50.387596899224803</v>
      </c>
      <c r="K54" s="127">
        <f t="shared" si="3"/>
        <v>0.50000000000000011</v>
      </c>
    </row>
    <row r="55" spans="1:11" ht="20.100000000000001" customHeight="1" thickBot="1" x14ac:dyDescent="0.35">
      <c r="A55" s="142">
        <f>A53+400</f>
        <v>916</v>
      </c>
      <c r="B55" s="146" t="s">
        <v>254</v>
      </c>
      <c r="C55" s="76">
        <f>C53</f>
        <v>13</v>
      </c>
      <c r="D55" s="74">
        <v>1</v>
      </c>
      <c r="E55" s="77">
        <f>C55/(1-$C$1-$C$2-$F$6)</f>
        <v>76.470588235294102</v>
      </c>
      <c r="F55" s="155">
        <f>IFERROR(C55/G55,"")+$F$6</f>
        <v>0.30000000000000004</v>
      </c>
      <c r="G55" s="167">
        <f t="shared" si="0"/>
        <v>76.470588235294102</v>
      </c>
      <c r="H55" s="78">
        <f>IF(G55="","",G55-C55-($F$6)*G55)</f>
        <v>53.52941176470587</v>
      </c>
      <c r="I55" s="79">
        <f t="shared" si="20"/>
        <v>0.7</v>
      </c>
      <c r="J55" s="80">
        <f t="shared" si="2"/>
        <v>38.235294117647051</v>
      </c>
      <c r="K55" s="127">
        <f t="shared" si="3"/>
        <v>0.5</v>
      </c>
    </row>
    <row r="56" spans="1:11" ht="20.100000000000001" customHeight="1" thickBot="1" x14ac:dyDescent="0.35">
      <c r="A56" s="141">
        <f t="shared" si="16"/>
        <v>517</v>
      </c>
      <c r="B56" s="145" t="s">
        <v>167</v>
      </c>
      <c r="C56" s="109">
        <f>'PÃO DE FORMA'!C4:D4</f>
        <v>13</v>
      </c>
      <c r="D56" s="114">
        <v>1</v>
      </c>
      <c r="E56" s="111">
        <f>C56/(1-$C$1-$C$2-$F$4)</f>
        <v>51.875498802873096</v>
      </c>
      <c r="F56" s="155">
        <f>IFERROR(C56/G56,"")+$F$4</f>
        <v>0.30000000000000004</v>
      </c>
      <c r="G56" s="167">
        <f t="shared" si="0"/>
        <v>51.875498802873096</v>
      </c>
      <c r="H56" s="112">
        <f>IF(G56="","",G56-C56-($F$4)*G56)</f>
        <v>36.312849162011162</v>
      </c>
      <c r="I56" s="113">
        <f>IF(G56="","",H56/G56)</f>
        <v>0.69999999999999984</v>
      </c>
      <c r="J56" s="111">
        <f t="shared" si="2"/>
        <v>25.937749401436541</v>
      </c>
      <c r="K56" s="117">
        <f t="shared" si="3"/>
        <v>0.49999999999999989</v>
      </c>
    </row>
    <row r="57" spans="1:11" ht="20.100000000000001" customHeight="1" thickBot="1" x14ac:dyDescent="0.35">
      <c r="A57" s="142">
        <f>A56+200</f>
        <v>717</v>
      </c>
      <c r="B57" s="146" t="s">
        <v>216</v>
      </c>
      <c r="C57" s="76">
        <f>C56</f>
        <v>13</v>
      </c>
      <c r="D57" s="74">
        <v>1</v>
      </c>
      <c r="E57" s="77">
        <f>C57/(1-$C$1-$C$2-$F$5)</f>
        <v>100.77519379844959</v>
      </c>
      <c r="F57" s="155">
        <f>IFERROR(C57/G57,"")+$F$5</f>
        <v>0.30000000000000004</v>
      </c>
      <c r="G57" s="167">
        <f t="shared" si="0"/>
        <v>100.77519379844959</v>
      </c>
      <c r="H57" s="78">
        <f>IF(G57="","",G57-C57-($F$5)*G57)</f>
        <v>70.542635658914719</v>
      </c>
      <c r="I57" s="79">
        <f t="shared" ref="I57:I58" si="21">IF(G57="","",H57/G57)</f>
        <v>0.70000000000000007</v>
      </c>
      <c r="J57" s="80">
        <f t="shared" si="2"/>
        <v>50.387596899224803</v>
      </c>
      <c r="K57" s="127">
        <f t="shared" si="3"/>
        <v>0.50000000000000011</v>
      </c>
    </row>
    <row r="58" spans="1:11" ht="20.100000000000001" customHeight="1" thickBot="1" x14ac:dyDescent="0.35">
      <c r="A58" s="142">
        <f>A56+400</f>
        <v>917</v>
      </c>
      <c r="B58" s="146" t="s">
        <v>249</v>
      </c>
      <c r="C58" s="76">
        <f>C56</f>
        <v>13</v>
      </c>
      <c r="D58" s="74">
        <v>1</v>
      </c>
      <c r="E58" s="77">
        <f>C58/(1-$C$1-$C$2-$F$6)</f>
        <v>76.470588235294102</v>
      </c>
      <c r="F58" s="155">
        <f>IFERROR(C58/G58,"")+$F$6</f>
        <v>0.30000000000000004</v>
      </c>
      <c r="G58" s="167">
        <f t="shared" si="0"/>
        <v>76.470588235294102</v>
      </c>
      <c r="H58" s="78">
        <f>IF(G58="","",G58-C58-($F$6)*G58)</f>
        <v>53.52941176470587</v>
      </c>
      <c r="I58" s="79">
        <f t="shared" si="21"/>
        <v>0.7</v>
      </c>
      <c r="J58" s="80">
        <f t="shared" si="2"/>
        <v>38.235294117647051</v>
      </c>
      <c r="K58" s="127">
        <f t="shared" si="3"/>
        <v>0.5</v>
      </c>
    </row>
    <row r="59" spans="1:11" ht="20.100000000000001" customHeight="1" thickBot="1" x14ac:dyDescent="0.35">
      <c r="A59" s="141">
        <f t="shared" si="16"/>
        <v>518</v>
      </c>
      <c r="B59" s="145" t="s">
        <v>166</v>
      </c>
      <c r="C59" s="109">
        <f>GRANOLA!C4</f>
        <v>13</v>
      </c>
      <c r="D59" s="114">
        <v>1</v>
      </c>
      <c r="E59" s="111">
        <f>C59/(1-$C$1-$C$2-$F$4)</f>
        <v>51.875498802873096</v>
      </c>
      <c r="F59" s="155">
        <f>IFERROR(C59/G59,"")+$F$4</f>
        <v>0.30000000000000004</v>
      </c>
      <c r="G59" s="167">
        <f t="shared" si="0"/>
        <v>51.875498802873096</v>
      </c>
      <c r="H59" s="112">
        <f>IF(G59="","",G59-C59-($F$4)*G59)</f>
        <v>36.312849162011162</v>
      </c>
      <c r="I59" s="113">
        <f>IF(G59="","",H59/G59)</f>
        <v>0.69999999999999984</v>
      </c>
      <c r="J59" s="111">
        <f t="shared" si="2"/>
        <v>25.937749401436541</v>
      </c>
      <c r="K59" s="117">
        <f t="shared" si="3"/>
        <v>0.49999999999999989</v>
      </c>
    </row>
    <row r="60" spans="1:11" ht="20.100000000000001" customHeight="1" thickBot="1" x14ac:dyDescent="0.35">
      <c r="A60" s="142">
        <f>A59+200</f>
        <v>718</v>
      </c>
      <c r="B60" s="146" t="s">
        <v>217</v>
      </c>
      <c r="C60" s="76">
        <f>C59</f>
        <v>13</v>
      </c>
      <c r="D60" s="74">
        <v>1</v>
      </c>
      <c r="E60" s="77">
        <f>C60/(1-$C$1-$C$2-$F$5)</f>
        <v>100.77519379844959</v>
      </c>
      <c r="F60" s="155">
        <f>IFERROR(C60/G60,"")+$F$5</f>
        <v>0.30000000000000004</v>
      </c>
      <c r="G60" s="167">
        <f t="shared" si="0"/>
        <v>100.77519379844959</v>
      </c>
      <c r="H60" s="78">
        <f>IF(G60="","",G60-C60-($F$5)*G60)</f>
        <v>70.542635658914719</v>
      </c>
      <c r="I60" s="79">
        <f t="shared" ref="I60:I61" si="22">IF(G60="","",H60/G60)</f>
        <v>0.70000000000000007</v>
      </c>
      <c r="J60" s="80">
        <f t="shared" si="2"/>
        <v>50.387596899224803</v>
      </c>
      <c r="K60" s="127">
        <f t="shared" si="3"/>
        <v>0.50000000000000011</v>
      </c>
    </row>
    <row r="61" spans="1:11" ht="20.100000000000001" customHeight="1" thickBot="1" x14ac:dyDescent="0.35">
      <c r="A61" s="142">
        <f>A59+400</f>
        <v>918</v>
      </c>
      <c r="B61" s="146" t="s">
        <v>248</v>
      </c>
      <c r="C61" s="76">
        <f>C59</f>
        <v>13</v>
      </c>
      <c r="D61" s="74">
        <v>1</v>
      </c>
      <c r="E61" s="77">
        <f>C61/(1-$C$1-$C$2-$F$6)</f>
        <v>76.470588235294102</v>
      </c>
      <c r="F61" s="155">
        <f>IFERROR(C61/G61,"")+$F$6</f>
        <v>0.30000000000000004</v>
      </c>
      <c r="G61" s="167">
        <f t="shared" si="0"/>
        <v>76.470588235294102</v>
      </c>
      <c r="H61" s="78">
        <f>IF(G61="","",G61-C61-($F$6)*G61)</f>
        <v>53.52941176470587</v>
      </c>
      <c r="I61" s="79">
        <f t="shared" si="22"/>
        <v>0.7</v>
      </c>
      <c r="J61" s="80">
        <f t="shared" si="2"/>
        <v>38.235294117647051</v>
      </c>
      <c r="K61" s="127">
        <f t="shared" si="3"/>
        <v>0.5</v>
      </c>
    </row>
    <row r="62" spans="1:11" ht="20.100000000000001" customHeight="1" thickBot="1" x14ac:dyDescent="0.35">
      <c r="A62" s="141">
        <f t="shared" si="16"/>
        <v>519</v>
      </c>
      <c r="B62" s="145" t="s">
        <v>181</v>
      </c>
      <c r="C62" s="109">
        <f>'TORTINHA DE FRANGO'!C4:D4</f>
        <v>13</v>
      </c>
      <c r="D62" s="114">
        <v>1</v>
      </c>
      <c r="E62" s="111">
        <f>C62/(1-$C$1-$C$2-$F$4)</f>
        <v>51.875498802873096</v>
      </c>
      <c r="F62" s="155">
        <f>IFERROR(C62/G62,"")+$F$4</f>
        <v>0.30000000000000004</v>
      </c>
      <c r="G62" s="167">
        <f t="shared" si="0"/>
        <v>51.875498802873096</v>
      </c>
      <c r="H62" s="112">
        <f>IF(G62="","",G62-C62-($F$4)*G62)</f>
        <v>36.312849162011162</v>
      </c>
      <c r="I62" s="113">
        <f>IF(G62="","",H62/G62)</f>
        <v>0.69999999999999984</v>
      </c>
      <c r="J62" s="111">
        <f t="shared" si="2"/>
        <v>25.937749401436541</v>
      </c>
      <c r="K62" s="117">
        <f t="shared" si="3"/>
        <v>0.49999999999999989</v>
      </c>
    </row>
    <row r="63" spans="1:11" ht="20.100000000000001" customHeight="1" thickBot="1" x14ac:dyDescent="0.35">
      <c r="A63" s="142">
        <f>A62+200</f>
        <v>719</v>
      </c>
      <c r="B63" s="146" t="s">
        <v>227</v>
      </c>
      <c r="C63" s="76">
        <f>C62</f>
        <v>13</v>
      </c>
      <c r="D63" s="74">
        <v>1</v>
      </c>
      <c r="E63" s="77">
        <f>C63/(1-$C$1-$C$2-$F$5)</f>
        <v>100.77519379844959</v>
      </c>
      <c r="F63" s="155">
        <f>IFERROR(C63/G63,"")+$F$5</f>
        <v>0.30000000000000004</v>
      </c>
      <c r="G63" s="167">
        <f t="shared" si="0"/>
        <v>100.77519379844959</v>
      </c>
      <c r="H63" s="78">
        <f>IF(G63="","",G63-C63-($F$5)*G63)</f>
        <v>70.542635658914719</v>
      </c>
      <c r="I63" s="79">
        <f t="shared" ref="I63:I64" si="23">IF(G63="","",H63/G63)</f>
        <v>0.70000000000000007</v>
      </c>
      <c r="J63" s="80">
        <f t="shared" si="2"/>
        <v>50.387596899224803</v>
      </c>
      <c r="K63" s="127">
        <f t="shared" si="3"/>
        <v>0.50000000000000011</v>
      </c>
    </row>
    <row r="64" spans="1:11" ht="20.100000000000001" customHeight="1" thickBot="1" x14ac:dyDescent="0.35">
      <c r="A64" s="142">
        <f>A62+400</f>
        <v>919</v>
      </c>
      <c r="B64" s="146" t="s">
        <v>255</v>
      </c>
      <c r="C64" s="76">
        <f>C62</f>
        <v>13</v>
      </c>
      <c r="D64" s="74">
        <v>1</v>
      </c>
      <c r="E64" s="77">
        <f>C64/(1-$C$1-$C$2-$F$6)</f>
        <v>76.470588235294102</v>
      </c>
      <c r="F64" s="155">
        <f>IFERROR(C64/G64,"")+$F$6</f>
        <v>0.30000000000000004</v>
      </c>
      <c r="G64" s="167">
        <f t="shared" si="0"/>
        <v>76.470588235294102</v>
      </c>
      <c r="H64" s="78">
        <f>IF(G64="","",G64-C64-($F$6)*G64)</f>
        <v>53.52941176470587</v>
      </c>
      <c r="I64" s="79">
        <f t="shared" si="23"/>
        <v>0.7</v>
      </c>
      <c r="J64" s="80">
        <f t="shared" si="2"/>
        <v>38.235294117647051</v>
      </c>
      <c r="K64" s="127">
        <f t="shared" si="3"/>
        <v>0.5</v>
      </c>
    </row>
    <row r="65" spans="1:11" ht="20.100000000000001" customHeight="1" thickBot="1" x14ac:dyDescent="0.35">
      <c r="A65" s="141">
        <f t="shared" si="16"/>
        <v>520</v>
      </c>
      <c r="B65" s="145" t="s">
        <v>182</v>
      </c>
      <c r="C65" s="109">
        <f>'BOLO DE PRESTIGIO'!C4:D4</f>
        <v>13</v>
      </c>
      <c r="D65" s="114">
        <v>1</v>
      </c>
      <c r="E65" s="111">
        <f>C65/(1-$C$1-$C$2-$F$4)</f>
        <v>51.875498802873096</v>
      </c>
      <c r="F65" s="155">
        <f>IFERROR(C65/G65,"")+$F$4</f>
        <v>0.30000000000000004</v>
      </c>
      <c r="G65" s="167">
        <f t="shared" si="0"/>
        <v>51.875498802873096</v>
      </c>
      <c r="H65" s="112">
        <f>IF(G65="","",G65-C65-($F$4)*G65)</f>
        <v>36.312849162011162</v>
      </c>
      <c r="I65" s="113">
        <f>IF(G65="","",H65/G65)</f>
        <v>0.69999999999999984</v>
      </c>
      <c r="J65" s="111">
        <f>IF(G65="","",H65-G65*($C$1))</f>
        <v>25.937749401436541</v>
      </c>
      <c r="K65" s="127">
        <f>IFERROR(J65/G65,"")</f>
        <v>0.49999999999999989</v>
      </c>
    </row>
    <row r="66" spans="1:11" ht="20.100000000000001" customHeight="1" thickBot="1" x14ac:dyDescent="0.35">
      <c r="A66" s="142">
        <f>A65+200</f>
        <v>720</v>
      </c>
      <c r="B66" s="146" t="s">
        <v>218</v>
      </c>
      <c r="C66" s="76">
        <f>C65</f>
        <v>13</v>
      </c>
      <c r="D66" s="74">
        <v>1</v>
      </c>
      <c r="E66" s="77">
        <f>C66/(1-$C$1-$C$2-$F$5)</f>
        <v>100.77519379844959</v>
      </c>
      <c r="F66" s="155">
        <f>IFERROR(C66/G66,"")+$F$5</f>
        <v>0.30000000000000004</v>
      </c>
      <c r="G66" s="167">
        <f t="shared" si="0"/>
        <v>100.77519379844959</v>
      </c>
      <c r="H66" s="78">
        <f>IF(G66="","",G66-C66-($F$5)*G66)</f>
        <v>70.542635658914719</v>
      </c>
      <c r="I66" s="79">
        <f t="shared" ref="I66:I67" si="24">IF(G66="","",H66/G66)</f>
        <v>0.70000000000000007</v>
      </c>
      <c r="J66" s="80">
        <f t="shared" ref="J66:J67" si="25">IF(G66="","",H66-G66*$C$1)</f>
        <v>50.387596899224803</v>
      </c>
      <c r="K66" s="127">
        <f t="shared" ref="K66:K67" si="26">IFERROR(J66/G66,"")</f>
        <v>0.50000000000000011</v>
      </c>
    </row>
    <row r="67" spans="1:11" ht="20.100000000000001" customHeight="1" thickBot="1" x14ac:dyDescent="0.35">
      <c r="A67" s="142">
        <f>A65+400</f>
        <v>920</v>
      </c>
      <c r="B67" s="146" t="s">
        <v>247</v>
      </c>
      <c r="C67" s="76">
        <f>C65</f>
        <v>13</v>
      </c>
      <c r="D67" s="74">
        <v>1</v>
      </c>
      <c r="E67" s="77">
        <f>C67/(1-$C$1-$C$2-$F$6)</f>
        <v>76.470588235294102</v>
      </c>
      <c r="F67" s="155">
        <f>IFERROR(C67/G67,"")+$F$6</f>
        <v>0.30000000000000004</v>
      </c>
      <c r="G67" s="167">
        <f t="shared" si="0"/>
        <v>76.470588235294102</v>
      </c>
      <c r="H67" s="78">
        <f>IF(G67="","",G67-C67-($F$6)*G67)</f>
        <v>53.52941176470587</v>
      </c>
      <c r="I67" s="79">
        <f t="shared" si="24"/>
        <v>0.7</v>
      </c>
      <c r="J67" s="80">
        <f t="shared" si="25"/>
        <v>38.235294117647051</v>
      </c>
      <c r="K67" s="127">
        <f t="shared" si="26"/>
        <v>0.5</v>
      </c>
    </row>
    <row r="68" spans="1:11" ht="20.100000000000001" customHeight="1" thickBot="1" x14ac:dyDescent="0.35">
      <c r="A68" s="141">
        <f t="shared" si="16"/>
        <v>521</v>
      </c>
      <c r="B68" s="145" t="s">
        <v>226</v>
      </c>
      <c r="C68" s="109">
        <f>'TORTA SONHO DE VALSA'!C4:D4</f>
        <v>13</v>
      </c>
      <c r="D68" s="114">
        <v>1</v>
      </c>
      <c r="E68" s="111">
        <f>C68/(1-$C$1-$C$2-$F$4)</f>
        <v>51.875498802873096</v>
      </c>
      <c r="F68" s="155">
        <f>IFERROR(C68/G68,"")+$F$4</f>
        <v>0.30000000000000004</v>
      </c>
      <c r="G68" s="167">
        <f t="shared" si="0"/>
        <v>51.875498802873096</v>
      </c>
      <c r="H68" s="112">
        <f>IF(G68="","",G68-C68-($F$4)*G68)</f>
        <v>36.312849162011162</v>
      </c>
      <c r="I68" s="113">
        <f>IF(G68="","",H68/G68)</f>
        <v>0.69999999999999984</v>
      </c>
      <c r="J68" s="111">
        <f t="shared" si="2"/>
        <v>25.937749401436541</v>
      </c>
      <c r="K68" s="117">
        <f t="shared" si="3"/>
        <v>0.49999999999999989</v>
      </c>
    </row>
    <row r="69" spans="1:11" ht="20.100000000000001" customHeight="1" thickBot="1" x14ac:dyDescent="0.35">
      <c r="A69" s="142">
        <f>A68+200</f>
        <v>721</v>
      </c>
      <c r="B69" s="146" t="s">
        <v>225</v>
      </c>
      <c r="C69" s="76">
        <f>C68</f>
        <v>13</v>
      </c>
      <c r="D69" s="74">
        <v>1</v>
      </c>
      <c r="E69" s="77">
        <f>C69/(1-$C$1-$C$2-$F$5)</f>
        <v>100.77519379844959</v>
      </c>
      <c r="F69" s="155">
        <f>IFERROR(C69/G69,"")+$F$5</f>
        <v>0.30000000000000004</v>
      </c>
      <c r="G69" s="167">
        <f t="shared" si="0"/>
        <v>100.77519379844959</v>
      </c>
      <c r="H69" s="78">
        <f>IF(G69="","",G69-C69-($F$5)*G69)</f>
        <v>70.542635658914719</v>
      </c>
      <c r="I69" s="79">
        <f t="shared" ref="I69:I70" si="27">IF(G69="","",H69/G69)</f>
        <v>0.70000000000000007</v>
      </c>
      <c r="J69" s="80">
        <f t="shared" si="2"/>
        <v>50.387596899224803</v>
      </c>
      <c r="K69" s="127">
        <f t="shared" si="3"/>
        <v>0.50000000000000011</v>
      </c>
    </row>
    <row r="70" spans="1:11" ht="20.100000000000001" customHeight="1" thickBot="1" x14ac:dyDescent="0.35">
      <c r="A70" s="142">
        <f>A68+400</f>
        <v>921</v>
      </c>
      <c r="B70" s="146" t="s">
        <v>246</v>
      </c>
      <c r="C70" s="76">
        <f>C68</f>
        <v>13</v>
      </c>
      <c r="D70" s="74">
        <v>1</v>
      </c>
      <c r="E70" s="77">
        <f>C70/(1-$C$1-$C$2-$F$6)</f>
        <v>76.470588235294102</v>
      </c>
      <c r="F70" s="155">
        <f>IFERROR(C70/G70,"")+$F$6</f>
        <v>0.30000000000000004</v>
      </c>
      <c r="G70" s="167">
        <f t="shared" si="0"/>
        <v>76.470588235294102</v>
      </c>
      <c r="H70" s="78">
        <f>IF(G70="","",G70-C70-($F$6)*G70)</f>
        <v>53.52941176470587</v>
      </c>
      <c r="I70" s="79">
        <f t="shared" si="27"/>
        <v>0.7</v>
      </c>
      <c r="J70" s="80">
        <f t="shared" si="2"/>
        <v>38.235294117647051</v>
      </c>
      <c r="K70" s="127">
        <f t="shared" si="3"/>
        <v>0.5</v>
      </c>
    </row>
    <row r="71" spans="1:11" ht="20.100000000000001" customHeight="1" thickBot="1" x14ac:dyDescent="0.35">
      <c r="A71" s="141">
        <f t="shared" si="16"/>
        <v>522</v>
      </c>
      <c r="B71" s="145" t="s">
        <v>183</v>
      </c>
      <c r="C71" s="109">
        <f>'NAKED P'!C4:D4</f>
        <v>13</v>
      </c>
      <c r="D71" s="114">
        <v>1</v>
      </c>
      <c r="E71" s="111">
        <f>C71/(1-$C$1-$C$2-$F$4)</f>
        <v>51.875498802873096</v>
      </c>
      <c r="F71" s="155">
        <f>IFERROR(C71/G71,"")+$F$4</f>
        <v>0.30000000000000004</v>
      </c>
      <c r="G71" s="167">
        <f t="shared" si="0"/>
        <v>51.875498802873096</v>
      </c>
      <c r="H71" s="112">
        <f>IF(G71="","",G71-C71-($F$4)*G71)</f>
        <v>36.312849162011162</v>
      </c>
      <c r="I71" s="113">
        <f>IF(G71="","",H71/G71)</f>
        <v>0.69999999999999984</v>
      </c>
      <c r="J71" s="111">
        <f t="shared" si="2"/>
        <v>25.937749401436541</v>
      </c>
      <c r="K71" s="117">
        <f t="shared" si="3"/>
        <v>0.49999999999999989</v>
      </c>
    </row>
    <row r="72" spans="1:11" ht="20.100000000000001" customHeight="1" thickBot="1" x14ac:dyDescent="0.35">
      <c r="A72" s="142">
        <f>A71+200</f>
        <v>722</v>
      </c>
      <c r="B72" s="146" t="s">
        <v>219</v>
      </c>
      <c r="C72" s="76">
        <f>C71</f>
        <v>13</v>
      </c>
      <c r="D72" s="74">
        <v>1</v>
      </c>
      <c r="E72" s="77">
        <f>C72/(1-$C$1-$C$2-$F$5)</f>
        <v>100.77519379844959</v>
      </c>
      <c r="F72" s="155">
        <f>IFERROR(C72/G72,"")+$F$5</f>
        <v>0.30000000000000004</v>
      </c>
      <c r="G72" s="167">
        <f t="shared" si="0"/>
        <v>100.77519379844959</v>
      </c>
      <c r="H72" s="78">
        <f>IF(G72="","",G72-C72-($F$5)*G72)</f>
        <v>70.542635658914719</v>
      </c>
      <c r="I72" s="79">
        <f t="shared" ref="I72:I73" si="28">IF(G72="","",H72/G72)</f>
        <v>0.70000000000000007</v>
      </c>
      <c r="J72" s="80">
        <f t="shared" si="2"/>
        <v>50.387596899224803</v>
      </c>
      <c r="K72" s="127">
        <f t="shared" si="3"/>
        <v>0.50000000000000011</v>
      </c>
    </row>
    <row r="73" spans="1:11" ht="20.100000000000001" customHeight="1" thickBot="1" x14ac:dyDescent="0.35">
      <c r="A73" s="142">
        <f>A71+400</f>
        <v>922</v>
      </c>
      <c r="B73" s="146" t="s">
        <v>245</v>
      </c>
      <c r="C73" s="76">
        <f>C71</f>
        <v>13</v>
      </c>
      <c r="D73" s="74">
        <v>1</v>
      </c>
      <c r="E73" s="77">
        <f>C73/(1-$C$1-$C$2-$F$6)</f>
        <v>76.470588235294102</v>
      </c>
      <c r="F73" s="155">
        <f>IFERROR(C73/G73,"")+$F$6</f>
        <v>0.30000000000000004</v>
      </c>
      <c r="G73" s="167">
        <f t="shared" ref="G73:G91" si="29">E73</f>
        <v>76.470588235294102</v>
      </c>
      <c r="H73" s="78">
        <f>IF(G73="","",G73-C73-($F$6)*G73)</f>
        <v>53.52941176470587</v>
      </c>
      <c r="I73" s="79">
        <f t="shared" si="28"/>
        <v>0.7</v>
      </c>
      <c r="J73" s="80">
        <f t="shared" ref="J73:J136" si="30">IF(G73="","",H73-G73*$C$1)</f>
        <v>38.235294117647051</v>
      </c>
      <c r="K73" s="127">
        <f t="shared" ref="K73:K136" si="31">IFERROR(J73/G73,"")</f>
        <v>0.5</v>
      </c>
    </row>
    <row r="74" spans="1:11" ht="20.100000000000001" customHeight="1" thickBot="1" x14ac:dyDescent="0.35">
      <c r="A74" s="141">
        <f t="shared" si="16"/>
        <v>523</v>
      </c>
      <c r="B74" s="145" t="s">
        <v>173</v>
      </c>
      <c r="C74" s="109">
        <f>'NAKED M'!C4:D4</f>
        <v>13</v>
      </c>
      <c r="D74" s="114">
        <v>1</v>
      </c>
      <c r="E74" s="111">
        <f>C74/(1-$C$1-$C$2-$F$4)</f>
        <v>51.875498802873096</v>
      </c>
      <c r="F74" s="155">
        <f>IFERROR(C74/G74,"")+$F$4</f>
        <v>0.30000000000000004</v>
      </c>
      <c r="G74" s="167">
        <f t="shared" si="29"/>
        <v>51.875498802873096</v>
      </c>
      <c r="H74" s="112">
        <f>IF(G74="","",G74-C74-($F$4)*G74)</f>
        <v>36.312849162011162</v>
      </c>
      <c r="I74" s="113">
        <f>IF(G74="","",H74/G74)</f>
        <v>0.69999999999999984</v>
      </c>
      <c r="J74" s="111">
        <f t="shared" si="30"/>
        <v>25.937749401436541</v>
      </c>
      <c r="K74" s="117">
        <f t="shared" si="31"/>
        <v>0.49999999999999989</v>
      </c>
    </row>
    <row r="75" spans="1:11" ht="20.100000000000001" customHeight="1" thickBot="1" x14ac:dyDescent="0.35">
      <c r="A75" s="142">
        <f>A74+200</f>
        <v>723</v>
      </c>
      <c r="B75" s="146" t="s">
        <v>220</v>
      </c>
      <c r="C75" s="76">
        <f>C74</f>
        <v>13</v>
      </c>
      <c r="D75" s="74">
        <v>1</v>
      </c>
      <c r="E75" s="77">
        <f>C75/(1-$C$1-$C$2-$F$5)</f>
        <v>100.77519379844959</v>
      </c>
      <c r="F75" s="155">
        <f>IFERROR(C75/G75,"")+$F$5</f>
        <v>0.30000000000000004</v>
      </c>
      <c r="G75" s="167">
        <f t="shared" si="29"/>
        <v>100.77519379844959</v>
      </c>
      <c r="H75" s="78">
        <f>IF(G75="","",G75-C75-($F$5)*G75)</f>
        <v>70.542635658914719</v>
      </c>
      <c r="I75" s="79">
        <f t="shared" ref="I75:I76" si="32">IF(G75="","",H75/G75)</f>
        <v>0.70000000000000007</v>
      </c>
      <c r="J75" s="80">
        <f t="shared" si="30"/>
        <v>50.387596899224803</v>
      </c>
      <c r="K75" s="127">
        <f t="shared" si="31"/>
        <v>0.50000000000000011</v>
      </c>
    </row>
    <row r="76" spans="1:11" ht="20.100000000000001" customHeight="1" thickBot="1" x14ac:dyDescent="0.35">
      <c r="A76" s="142">
        <f>A74+400</f>
        <v>923</v>
      </c>
      <c r="B76" s="146" t="s">
        <v>244</v>
      </c>
      <c r="C76" s="76">
        <f>C75</f>
        <v>13</v>
      </c>
      <c r="D76" s="74">
        <v>1</v>
      </c>
      <c r="E76" s="77">
        <f>C76/(1-$C$1-$C$2-$F$6)</f>
        <v>76.470588235294102</v>
      </c>
      <c r="F76" s="155">
        <f>IFERROR(C76/G76,"")+$F$6</f>
        <v>0.30000000000000004</v>
      </c>
      <c r="G76" s="167">
        <f t="shared" si="29"/>
        <v>76.470588235294102</v>
      </c>
      <c r="H76" s="78">
        <f>IF(G76="","",G76-C76-($F$6)*G76)</f>
        <v>53.52941176470587</v>
      </c>
      <c r="I76" s="79">
        <f t="shared" si="32"/>
        <v>0.7</v>
      </c>
      <c r="J76" s="80">
        <f t="shared" si="30"/>
        <v>38.235294117647051</v>
      </c>
      <c r="K76" s="127">
        <f t="shared" si="31"/>
        <v>0.5</v>
      </c>
    </row>
    <row r="77" spans="1:11" ht="20.100000000000001" customHeight="1" thickBot="1" x14ac:dyDescent="0.35">
      <c r="A77" s="141">
        <f t="shared" ref="A77:A86" si="33">A74+1</f>
        <v>524</v>
      </c>
      <c r="B77" s="145" t="s">
        <v>184</v>
      </c>
      <c r="C77" s="109">
        <f>'NAKED M'!C4:D4</f>
        <v>13</v>
      </c>
      <c r="D77" s="114">
        <v>1</v>
      </c>
      <c r="E77" s="111">
        <f>C77/(1-$C$1-$C$2-$F$4)</f>
        <v>51.875498802873096</v>
      </c>
      <c r="F77" s="155">
        <f>IFERROR(C77/G77,"")+$F$4</f>
        <v>0.30000000000000004</v>
      </c>
      <c r="G77" s="167">
        <f t="shared" si="29"/>
        <v>51.875498802873096</v>
      </c>
      <c r="H77" s="112">
        <f>IF(G77="","",G77-C77-($F$4)*G77)</f>
        <v>36.312849162011162</v>
      </c>
      <c r="I77" s="113">
        <f>IF(G77="","",H77/G77)</f>
        <v>0.69999999999999984</v>
      </c>
      <c r="J77" s="111">
        <f t="shared" si="30"/>
        <v>25.937749401436541</v>
      </c>
      <c r="K77" s="117">
        <f t="shared" si="31"/>
        <v>0.49999999999999989</v>
      </c>
    </row>
    <row r="78" spans="1:11" ht="20.100000000000001" customHeight="1" thickBot="1" x14ac:dyDescent="0.35">
      <c r="A78" s="142">
        <f>A77+200</f>
        <v>724</v>
      </c>
      <c r="B78" s="146" t="s">
        <v>221</v>
      </c>
      <c r="C78" s="76">
        <f>C77</f>
        <v>13</v>
      </c>
      <c r="D78" s="74">
        <v>1</v>
      </c>
      <c r="E78" s="77">
        <f>C78/(1-$C$1-$C$2-$F$5)</f>
        <v>100.77519379844959</v>
      </c>
      <c r="F78" s="155">
        <f>IFERROR(C78/G78,"")+$F$5</f>
        <v>0.30000000000000004</v>
      </c>
      <c r="G78" s="167">
        <f t="shared" si="29"/>
        <v>100.77519379844959</v>
      </c>
      <c r="H78" s="78">
        <f>IF(G78="","",G78-C78-($F$5)*G78)</f>
        <v>70.542635658914719</v>
      </c>
      <c r="I78" s="79">
        <f t="shared" ref="I78:I79" si="34">IF(G78="","",H78/G78)</f>
        <v>0.70000000000000007</v>
      </c>
      <c r="J78" s="80">
        <f t="shared" si="30"/>
        <v>50.387596899224803</v>
      </c>
      <c r="K78" s="127">
        <f t="shared" si="31"/>
        <v>0.50000000000000011</v>
      </c>
    </row>
    <row r="79" spans="1:11" ht="20.100000000000001" customHeight="1" thickBot="1" x14ac:dyDescent="0.35">
      <c r="A79" s="142">
        <f>A77+400</f>
        <v>924</v>
      </c>
      <c r="B79" s="146" t="s">
        <v>256</v>
      </c>
      <c r="C79" s="76">
        <f>C77</f>
        <v>13</v>
      </c>
      <c r="D79" s="74">
        <v>1</v>
      </c>
      <c r="E79" s="77">
        <f>C79/(1-$C$1-$C$2-$F$6)</f>
        <v>76.470588235294102</v>
      </c>
      <c r="F79" s="155">
        <f>IFERROR(C79/G79,"")+$F$6</f>
        <v>0.30000000000000004</v>
      </c>
      <c r="G79" s="167">
        <f t="shared" si="29"/>
        <v>76.470588235294102</v>
      </c>
      <c r="H79" s="78">
        <f>IF(G79="","",G79-C79-($F$6)*G79)</f>
        <v>53.52941176470587</v>
      </c>
      <c r="I79" s="79">
        <f t="shared" si="34"/>
        <v>0.7</v>
      </c>
      <c r="J79" s="80">
        <f t="shared" si="30"/>
        <v>38.235294117647051</v>
      </c>
      <c r="K79" s="127">
        <f t="shared" si="31"/>
        <v>0.5</v>
      </c>
    </row>
    <row r="80" spans="1:11" ht="20.100000000000001" customHeight="1" thickBot="1" x14ac:dyDescent="0.35">
      <c r="A80" s="141">
        <f t="shared" si="33"/>
        <v>525</v>
      </c>
      <c r="B80" s="145" t="s">
        <v>185</v>
      </c>
      <c r="C80" s="109">
        <f>PIZZA!C4</f>
        <v>13</v>
      </c>
      <c r="D80" s="114">
        <v>1</v>
      </c>
      <c r="E80" s="111">
        <f>C80/(1-$C$1-$C$2-$F$4)</f>
        <v>51.875498802873096</v>
      </c>
      <c r="F80" s="155">
        <f>IFERROR(C80/G80,"")+$F$4</f>
        <v>0.30000000000000004</v>
      </c>
      <c r="G80" s="167">
        <f t="shared" si="29"/>
        <v>51.875498802873096</v>
      </c>
      <c r="H80" s="112">
        <f>IF(G80="","",G80-C80-($F$4)*G80)</f>
        <v>36.312849162011162</v>
      </c>
      <c r="I80" s="113">
        <f>IF(G80="","",H80/G80)</f>
        <v>0.69999999999999984</v>
      </c>
      <c r="J80" s="111">
        <f t="shared" si="30"/>
        <v>25.937749401436541</v>
      </c>
      <c r="K80" s="117">
        <f t="shared" si="31"/>
        <v>0.49999999999999989</v>
      </c>
    </row>
    <row r="81" spans="1:11" ht="20.100000000000001" customHeight="1" thickBot="1" x14ac:dyDescent="0.35">
      <c r="A81" s="142">
        <f>A80+200</f>
        <v>725</v>
      </c>
      <c r="B81" s="146" t="s">
        <v>222</v>
      </c>
      <c r="C81" s="76">
        <f>C80</f>
        <v>13</v>
      </c>
      <c r="D81" s="74">
        <v>1</v>
      </c>
      <c r="E81" s="77">
        <f>C81/(1-$C$1-$C$2-$F$5)</f>
        <v>100.77519379844959</v>
      </c>
      <c r="F81" s="155">
        <f>IFERROR(C81/G81,"")+$F$5</f>
        <v>0.30000000000000004</v>
      </c>
      <c r="G81" s="167">
        <f t="shared" si="29"/>
        <v>100.77519379844959</v>
      </c>
      <c r="H81" s="78">
        <f>IF(G81="","",G81-C81-($F$5)*G81)</f>
        <v>70.542635658914719</v>
      </c>
      <c r="I81" s="79">
        <f t="shared" ref="I81:I82" si="35">IF(G81="","",H81/G81)</f>
        <v>0.70000000000000007</v>
      </c>
      <c r="J81" s="80">
        <f t="shared" si="30"/>
        <v>50.387596899224803</v>
      </c>
      <c r="K81" s="127">
        <f t="shared" si="31"/>
        <v>0.50000000000000011</v>
      </c>
    </row>
    <row r="82" spans="1:11" ht="20.100000000000001" customHeight="1" thickBot="1" x14ac:dyDescent="0.35">
      <c r="A82" s="142">
        <f>A80+400</f>
        <v>925</v>
      </c>
      <c r="B82" s="146" t="s">
        <v>243</v>
      </c>
      <c r="C82" s="76">
        <f>C80</f>
        <v>13</v>
      </c>
      <c r="D82" s="74">
        <v>1</v>
      </c>
      <c r="E82" s="77">
        <f>C82/(1-$C$1-$C$2-$F$6)</f>
        <v>76.470588235294102</v>
      </c>
      <c r="F82" s="155">
        <f>IFERROR(C82/G82,"")+$F$6</f>
        <v>0.30000000000000004</v>
      </c>
      <c r="G82" s="167">
        <f t="shared" si="29"/>
        <v>76.470588235294102</v>
      </c>
      <c r="H82" s="78">
        <f>IF(G82="","",G82-C82-($F$6)*G82)</f>
        <v>53.52941176470587</v>
      </c>
      <c r="I82" s="79">
        <f t="shared" si="35"/>
        <v>0.7</v>
      </c>
      <c r="J82" s="80">
        <f t="shared" si="30"/>
        <v>38.235294117647051</v>
      </c>
      <c r="K82" s="127">
        <f t="shared" si="31"/>
        <v>0.5</v>
      </c>
    </row>
    <row r="83" spans="1:11" ht="20.100000000000001" customHeight="1" thickBot="1" x14ac:dyDescent="0.35">
      <c r="A83" s="141">
        <f t="shared" si="33"/>
        <v>526</v>
      </c>
      <c r="B83" s="145" t="s">
        <v>176</v>
      </c>
      <c r="C83" s="109">
        <f>TARTELETE!C4</f>
        <v>13</v>
      </c>
      <c r="D83" s="114">
        <v>1</v>
      </c>
      <c r="E83" s="111">
        <f>C83/(1-$C$1-$C$2-$F$4)</f>
        <v>51.875498802873096</v>
      </c>
      <c r="F83" s="155">
        <f>IFERROR(C83/G83,"")+$F$4</f>
        <v>0.30000000000000004</v>
      </c>
      <c r="G83" s="167">
        <f t="shared" si="29"/>
        <v>51.875498802873096</v>
      </c>
      <c r="H83" s="112">
        <f>IF(G83="","",G83-C83-($F$4)*G83)</f>
        <v>36.312849162011162</v>
      </c>
      <c r="I83" s="113">
        <f>IF(G83="","",H83/G83)</f>
        <v>0.69999999999999984</v>
      </c>
      <c r="J83" s="111">
        <f t="shared" si="30"/>
        <v>25.937749401436541</v>
      </c>
      <c r="K83" s="117">
        <f t="shared" si="31"/>
        <v>0.49999999999999989</v>
      </c>
    </row>
    <row r="84" spans="1:11" ht="20.100000000000001" customHeight="1" thickBot="1" x14ac:dyDescent="0.35">
      <c r="A84" s="142">
        <f>A83+200</f>
        <v>726</v>
      </c>
      <c r="B84" s="147" t="s">
        <v>223</v>
      </c>
      <c r="C84" s="76">
        <f>C83</f>
        <v>13</v>
      </c>
      <c r="D84" s="74">
        <v>1</v>
      </c>
      <c r="E84" s="77">
        <f>C84/(1-$C$1-$C$2-$F$5)</f>
        <v>100.77519379844959</v>
      </c>
      <c r="F84" s="155">
        <f>IFERROR(C84/G84,"")+$F$5</f>
        <v>0.30000000000000004</v>
      </c>
      <c r="G84" s="167">
        <f t="shared" si="29"/>
        <v>100.77519379844959</v>
      </c>
      <c r="H84" s="78">
        <f>IF(G84="","",G84-C84-($F$5)*G84)</f>
        <v>70.542635658914719</v>
      </c>
      <c r="I84" s="79">
        <f t="shared" ref="I84:I85" si="36">IF(G84="","",H84/G84)</f>
        <v>0.70000000000000007</v>
      </c>
      <c r="J84" s="80">
        <f t="shared" si="30"/>
        <v>50.387596899224803</v>
      </c>
      <c r="K84" s="127">
        <f t="shared" si="31"/>
        <v>0.50000000000000011</v>
      </c>
    </row>
    <row r="85" spans="1:11" ht="20.100000000000001" customHeight="1" thickBot="1" x14ac:dyDescent="0.35">
      <c r="A85" s="142">
        <f>A83+400</f>
        <v>926</v>
      </c>
      <c r="B85" s="147" t="s">
        <v>242</v>
      </c>
      <c r="C85" s="76">
        <f>C83</f>
        <v>13</v>
      </c>
      <c r="D85" s="74">
        <v>1</v>
      </c>
      <c r="E85" s="77">
        <f>C85/(1-$C$1-$C$2-$F$6)</f>
        <v>76.470588235294102</v>
      </c>
      <c r="F85" s="155">
        <f>IFERROR(C85/G85,"")+$F$6</f>
        <v>0.30000000000000004</v>
      </c>
      <c r="G85" s="167">
        <f t="shared" si="29"/>
        <v>76.470588235294102</v>
      </c>
      <c r="H85" s="78">
        <f>IF(G85="","",G85-C85-($F$6)*G85)</f>
        <v>53.52941176470587</v>
      </c>
      <c r="I85" s="79">
        <f t="shared" si="36"/>
        <v>0.7</v>
      </c>
      <c r="J85" s="80">
        <f t="shared" si="30"/>
        <v>38.235294117647051</v>
      </c>
      <c r="K85" s="127">
        <f t="shared" si="31"/>
        <v>0.5</v>
      </c>
    </row>
    <row r="86" spans="1:11" ht="20.100000000000001" customHeight="1" thickBot="1" x14ac:dyDescent="0.35">
      <c r="A86" s="141">
        <f t="shared" si="33"/>
        <v>527</v>
      </c>
      <c r="B86" s="145" t="s">
        <v>175</v>
      </c>
      <c r="C86" s="109">
        <f>'MINI VULCÃO'!C4:D4</f>
        <v>13</v>
      </c>
      <c r="D86" s="114">
        <v>1</v>
      </c>
      <c r="E86" s="111">
        <f>C86/(1-$C$1-$C$2-$F$4)</f>
        <v>51.875498802873096</v>
      </c>
      <c r="F86" s="155">
        <f>IFERROR(C86/G86,"")+$F$4</f>
        <v>0.30000000000000004</v>
      </c>
      <c r="G86" s="167">
        <f t="shared" si="29"/>
        <v>51.875498802873096</v>
      </c>
      <c r="H86" s="112">
        <f>IF(G86="","",G86-C86-($F$4)*G86)</f>
        <v>36.312849162011162</v>
      </c>
      <c r="I86" s="113">
        <f>IF(G86="","",H86/G86)</f>
        <v>0.69999999999999984</v>
      </c>
      <c r="J86" s="111">
        <f t="shared" si="30"/>
        <v>25.937749401436541</v>
      </c>
      <c r="K86" s="117">
        <f t="shared" si="31"/>
        <v>0.49999999999999989</v>
      </c>
    </row>
    <row r="87" spans="1:11" ht="20.100000000000001" customHeight="1" thickBot="1" x14ac:dyDescent="0.35">
      <c r="A87" s="142">
        <f>A86+200</f>
        <v>727</v>
      </c>
      <c r="B87" s="146" t="s">
        <v>224</v>
      </c>
      <c r="C87" s="76">
        <f>C86</f>
        <v>13</v>
      </c>
      <c r="D87" s="74">
        <v>1</v>
      </c>
      <c r="E87" s="77">
        <f>C87/(1-$C$1-$C$2-$F$5)</f>
        <v>100.77519379844959</v>
      </c>
      <c r="F87" s="155">
        <f>IFERROR(C87/G87,"")+$F$5</f>
        <v>0.30000000000000004</v>
      </c>
      <c r="G87" s="167">
        <f t="shared" si="29"/>
        <v>100.77519379844959</v>
      </c>
      <c r="H87" s="78">
        <f>IF(G87="","",G87-C87-($F$5)*G87)</f>
        <v>70.542635658914719</v>
      </c>
      <c r="I87" s="79">
        <f t="shared" ref="I87:I88" si="37">IF(G87="","",H87/G87)</f>
        <v>0.70000000000000007</v>
      </c>
      <c r="J87" s="80">
        <f t="shared" si="30"/>
        <v>50.387596899224803</v>
      </c>
      <c r="K87" s="127">
        <f t="shared" si="31"/>
        <v>0.50000000000000011</v>
      </c>
    </row>
    <row r="88" spans="1:11" ht="20.100000000000001" customHeight="1" thickBot="1" x14ac:dyDescent="0.35">
      <c r="A88" s="142">
        <f>A86+400</f>
        <v>927</v>
      </c>
      <c r="B88" s="146" t="s">
        <v>241</v>
      </c>
      <c r="C88" s="76">
        <f>C86</f>
        <v>13</v>
      </c>
      <c r="D88" s="74">
        <v>1</v>
      </c>
      <c r="E88" s="77">
        <f>C88/(1-$C$1-$C$2-$F$6)</f>
        <v>76.470588235294102</v>
      </c>
      <c r="F88" s="155">
        <f>IFERROR(C88/G88,"")+$F$6</f>
        <v>0.30000000000000004</v>
      </c>
      <c r="G88" s="167">
        <f t="shared" si="29"/>
        <v>76.470588235294102</v>
      </c>
      <c r="H88" s="78">
        <f>IF(G88="","",G88-C88-($F$6)*G88)</f>
        <v>53.52941176470587</v>
      </c>
      <c r="I88" s="79">
        <f t="shared" si="37"/>
        <v>0.7</v>
      </c>
      <c r="J88" s="80">
        <f t="shared" si="30"/>
        <v>38.235294117647051</v>
      </c>
      <c r="K88" s="127">
        <f t="shared" si="31"/>
        <v>0.5</v>
      </c>
    </row>
    <row r="89" spans="1:11" ht="20.100000000000001" customHeight="1" thickBot="1" x14ac:dyDescent="0.35">
      <c r="A89" s="141">
        <v>528</v>
      </c>
      <c r="B89" s="145" t="s">
        <v>285</v>
      </c>
      <c r="C89" s="116">
        <f>'BARRA DE CHOCOLATE'!E1</f>
        <v>0.2153846153846154</v>
      </c>
      <c r="D89" s="114">
        <v>1</v>
      </c>
      <c r="E89" s="111">
        <f>C89/(1-$C$1-$C$2-$F$4)</f>
        <v>0.8594757198109152</v>
      </c>
      <c r="F89" s="155">
        <f>IFERROR(C89/G89,"")+$F$4</f>
        <v>0.30000000000000004</v>
      </c>
      <c r="G89" s="167">
        <f t="shared" si="29"/>
        <v>0.8594757198109152</v>
      </c>
      <c r="H89" s="112">
        <f>IF(G89="","",G89-C89-($F$4)*G89)</f>
        <v>0.60163300386764063</v>
      </c>
      <c r="I89" s="113">
        <f>IF(G89="","",H89/G89)</f>
        <v>0.7</v>
      </c>
      <c r="J89" s="111">
        <f t="shared" ref="J89:J91" si="38">IF(G89="","",H89-G89*$C$1)</f>
        <v>0.42973785990545754</v>
      </c>
      <c r="K89" s="117">
        <f t="shared" ref="K89:K91" si="39">IFERROR(J89/G89,"")</f>
        <v>0.49999999999999994</v>
      </c>
    </row>
    <row r="90" spans="1:11" ht="20.100000000000001" customHeight="1" thickBot="1" x14ac:dyDescent="0.35">
      <c r="A90" s="142">
        <f>A89+200</f>
        <v>728</v>
      </c>
      <c r="B90" s="146" t="s">
        <v>286</v>
      </c>
      <c r="C90" s="5">
        <f>C89</f>
        <v>0.2153846153846154</v>
      </c>
      <c r="D90" s="74">
        <v>1</v>
      </c>
      <c r="E90" s="77">
        <f>C90/(1-$C$1-$C$2-$F$5)</f>
        <v>1.6696481812760879</v>
      </c>
      <c r="F90" s="155">
        <f>IFERROR(C90/G90,"")+$F$5</f>
        <v>0.30000000000000004</v>
      </c>
      <c r="G90" s="167">
        <f t="shared" si="29"/>
        <v>1.6696481812760879</v>
      </c>
      <c r="H90" s="78">
        <f>IF(G90="","",G90-C90-($F$5)*G90)</f>
        <v>1.1687537268932613</v>
      </c>
      <c r="I90" s="79">
        <f t="shared" ref="I90:I91" si="40">IF(G90="","",H90/G90)</f>
        <v>0.69999999999999984</v>
      </c>
      <c r="J90" s="80">
        <f t="shared" si="38"/>
        <v>0.83482409063804375</v>
      </c>
      <c r="K90" s="127">
        <f t="shared" si="39"/>
        <v>0.49999999999999989</v>
      </c>
    </row>
    <row r="91" spans="1:11" ht="20.100000000000001" customHeight="1" thickBot="1" x14ac:dyDescent="0.35">
      <c r="A91" s="142">
        <f>A89+400</f>
        <v>928</v>
      </c>
      <c r="B91" s="146" t="s">
        <v>287</v>
      </c>
      <c r="C91" s="5">
        <f>C89</f>
        <v>0.2153846153846154</v>
      </c>
      <c r="D91" s="74">
        <v>1</v>
      </c>
      <c r="E91" s="77">
        <f>C91/(1-$C$1-$C$2-$F$6)</f>
        <v>1.2669683257918549</v>
      </c>
      <c r="F91" s="155">
        <f>IFERROR(C91/G91,"")+$F$6</f>
        <v>0.30000000000000004</v>
      </c>
      <c r="G91" s="167">
        <f t="shared" si="29"/>
        <v>1.2669683257918549</v>
      </c>
      <c r="H91" s="78">
        <f>IF(G91="","",G91-C91-($F$6)*G91)</f>
        <v>0.88687782805429849</v>
      </c>
      <c r="I91" s="79">
        <f t="shared" si="40"/>
        <v>0.70000000000000007</v>
      </c>
      <c r="J91" s="80">
        <f t="shared" si="38"/>
        <v>0.63348416289592757</v>
      </c>
      <c r="K91" s="127">
        <f t="shared" si="39"/>
        <v>0.50000000000000011</v>
      </c>
    </row>
    <row r="92" spans="1:11" ht="20.100000000000001" customHeight="1" thickBot="1" x14ac:dyDescent="0.3">
      <c r="A92" s="142">
        <f t="shared" ref="A92:A121" si="41">A89+1</f>
        <v>529</v>
      </c>
      <c r="B92" s="146" t="s">
        <v>296</v>
      </c>
      <c r="C92" s="5"/>
      <c r="D92" s="74"/>
      <c r="E92" s="4"/>
      <c r="F92" s="155" t="str">
        <f t="shared" ref="F92:F136" si="42">IFERROR(C92/G92,"")</f>
        <v/>
      </c>
      <c r="G92" s="168"/>
      <c r="H92" s="75" t="str">
        <f>IF(G92="","",G92-C92-($F$4)*G92)</f>
        <v/>
      </c>
      <c r="I92" s="72" t="str">
        <f>IF(G92="","",H92/G92)</f>
        <v/>
      </c>
      <c r="J92" s="47" t="str">
        <f t="shared" si="30"/>
        <v/>
      </c>
      <c r="K92" s="127" t="str">
        <f t="shared" si="31"/>
        <v/>
      </c>
    </row>
    <row r="93" spans="1:11" ht="20.100000000000001" customHeight="1" thickBot="1" x14ac:dyDescent="0.3">
      <c r="A93" s="143">
        <f t="shared" si="41"/>
        <v>729</v>
      </c>
      <c r="B93" s="146"/>
      <c r="C93" s="5"/>
      <c r="D93" s="74"/>
      <c r="E93" s="4"/>
      <c r="F93" s="155" t="str">
        <f t="shared" si="42"/>
        <v/>
      </c>
      <c r="G93" s="168"/>
      <c r="H93" s="75" t="str">
        <f t="shared" ref="H93:H94" si="43">IF(G93="","",G93-C93-($F$4)*G93)</f>
        <v/>
      </c>
      <c r="I93" s="72" t="str">
        <f t="shared" ref="I93:I94" si="44">IF(G93="","",H93/G93)</f>
        <v/>
      </c>
      <c r="J93" s="47" t="str">
        <f t="shared" si="30"/>
        <v/>
      </c>
      <c r="K93" s="127" t="str">
        <f t="shared" si="31"/>
        <v/>
      </c>
    </row>
    <row r="94" spans="1:11" ht="20.100000000000001" customHeight="1" thickBot="1" x14ac:dyDescent="0.3">
      <c r="A94" s="143">
        <f t="shared" si="41"/>
        <v>929</v>
      </c>
      <c r="B94" s="146"/>
      <c r="C94" s="5"/>
      <c r="D94" s="74"/>
      <c r="E94" s="4"/>
      <c r="F94" s="155" t="str">
        <f t="shared" si="42"/>
        <v/>
      </c>
      <c r="G94" s="168"/>
      <c r="H94" s="75" t="str">
        <f t="shared" si="43"/>
        <v/>
      </c>
      <c r="I94" s="72" t="str">
        <f t="shared" si="44"/>
        <v/>
      </c>
      <c r="J94" s="47" t="str">
        <f t="shared" si="30"/>
        <v/>
      </c>
      <c r="K94" s="127" t="str">
        <f t="shared" si="31"/>
        <v/>
      </c>
    </row>
    <row r="95" spans="1:11" ht="20.100000000000001" customHeight="1" thickBot="1" x14ac:dyDescent="0.3">
      <c r="A95" s="142">
        <f t="shared" si="41"/>
        <v>530</v>
      </c>
      <c r="B95" s="146"/>
      <c r="C95" s="5"/>
      <c r="D95" s="74"/>
      <c r="E95" s="4"/>
      <c r="F95" s="155" t="str">
        <f t="shared" si="42"/>
        <v/>
      </c>
      <c r="G95" s="168"/>
      <c r="H95" s="75" t="str">
        <f>IF(G95="","",G95-C95-($F$4)*G95)</f>
        <v/>
      </c>
      <c r="I95" s="72" t="str">
        <f>IF(G95="","",H95/G95)</f>
        <v/>
      </c>
      <c r="J95" s="47" t="str">
        <f t="shared" si="30"/>
        <v/>
      </c>
      <c r="K95" s="127" t="str">
        <f t="shared" si="31"/>
        <v/>
      </c>
    </row>
    <row r="96" spans="1:11" ht="20.100000000000001" customHeight="1" thickBot="1" x14ac:dyDescent="0.3">
      <c r="A96" s="143">
        <f t="shared" si="41"/>
        <v>730</v>
      </c>
      <c r="B96" s="146"/>
      <c r="C96" s="5"/>
      <c r="D96" s="74"/>
      <c r="E96" s="4"/>
      <c r="F96" s="155" t="str">
        <f t="shared" si="42"/>
        <v/>
      </c>
      <c r="G96" s="168"/>
      <c r="H96" s="75" t="str">
        <f t="shared" ref="H96:H97" si="45">IF(G96="","",G96-C96-($F$4)*G96)</f>
        <v/>
      </c>
      <c r="I96" s="72" t="str">
        <f t="shared" ref="I96:I97" si="46">IF(G96="","",H96/G96)</f>
        <v/>
      </c>
      <c r="J96" s="47" t="str">
        <f t="shared" si="30"/>
        <v/>
      </c>
      <c r="K96" s="127" t="str">
        <f t="shared" si="31"/>
        <v/>
      </c>
    </row>
    <row r="97" spans="1:11" ht="20.100000000000001" customHeight="1" thickBot="1" x14ac:dyDescent="0.3">
      <c r="A97" s="143">
        <f t="shared" si="41"/>
        <v>930</v>
      </c>
      <c r="B97" s="146"/>
      <c r="C97" s="5"/>
      <c r="D97" s="74"/>
      <c r="E97" s="4"/>
      <c r="F97" s="155" t="str">
        <f t="shared" si="42"/>
        <v/>
      </c>
      <c r="G97" s="168"/>
      <c r="H97" s="75" t="str">
        <f t="shared" si="45"/>
        <v/>
      </c>
      <c r="I97" s="72" t="str">
        <f t="shared" si="46"/>
        <v/>
      </c>
      <c r="J97" s="47" t="str">
        <f t="shared" si="30"/>
        <v/>
      </c>
      <c r="K97" s="127" t="str">
        <f t="shared" si="31"/>
        <v/>
      </c>
    </row>
    <row r="98" spans="1:11" ht="20.100000000000001" customHeight="1" thickBot="1" x14ac:dyDescent="0.3">
      <c r="A98" s="142">
        <f t="shared" si="41"/>
        <v>531</v>
      </c>
      <c r="B98" s="146"/>
      <c r="C98" s="5"/>
      <c r="D98" s="74"/>
      <c r="E98" s="4"/>
      <c r="F98" s="155" t="str">
        <f t="shared" si="42"/>
        <v/>
      </c>
      <c r="G98" s="168"/>
      <c r="H98" s="75" t="str">
        <f>IF(G98="","",G98-C98-($F$4)*G98)</f>
        <v/>
      </c>
      <c r="I98" s="72" t="str">
        <f>IF(G98="","",H98/G98)</f>
        <v/>
      </c>
      <c r="J98" s="47" t="str">
        <f t="shared" si="30"/>
        <v/>
      </c>
      <c r="K98" s="127" t="str">
        <f t="shared" si="31"/>
        <v/>
      </c>
    </row>
    <row r="99" spans="1:11" ht="20.100000000000001" customHeight="1" thickBot="1" x14ac:dyDescent="0.3">
      <c r="A99" s="143">
        <f t="shared" si="41"/>
        <v>731</v>
      </c>
      <c r="B99" s="146"/>
      <c r="C99" s="5"/>
      <c r="D99" s="74"/>
      <c r="E99" s="4"/>
      <c r="F99" s="155" t="str">
        <f t="shared" si="42"/>
        <v/>
      </c>
      <c r="G99" s="168"/>
      <c r="H99" s="75" t="str">
        <f t="shared" ref="H99:H100" si="47">IF(G99="","",G99-C99-($F$4)*G99)</f>
        <v/>
      </c>
      <c r="I99" s="72" t="str">
        <f t="shared" ref="I99:I100" si="48">IF(G99="","",H99/G99)</f>
        <v/>
      </c>
      <c r="J99" s="47" t="str">
        <f t="shared" si="30"/>
        <v/>
      </c>
      <c r="K99" s="127" t="str">
        <f t="shared" si="31"/>
        <v/>
      </c>
    </row>
    <row r="100" spans="1:11" ht="20.100000000000001" customHeight="1" thickBot="1" x14ac:dyDescent="0.3">
      <c r="A100" s="143">
        <f t="shared" si="41"/>
        <v>931</v>
      </c>
      <c r="B100" s="146"/>
      <c r="C100" s="5"/>
      <c r="D100" s="74"/>
      <c r="E100" s="4"/>
      <c r="F100" s="155" t="str">
        <f t="shared" si="42"/>
        <v/>
      </c>
      <c r="G100" s="168"/>
      <c r="H100" s="75" t="str">
        <f t="shared" si="47"/>
        <v/>
      </c>
      <c r="I100" s="72" t="str">
        <f t="shared" si="48"/>
        <v/>
      </c>
      <c r="J100" s="47" t="str">
        <f t="shared" si="30"/>
        <v/>
      </c>
      <c r="K100" s="127" t="str">
        <f t="shared" si="31"/>
        <v/>
      </c>
    </row>
    <row r="101" spans="1:11" ht="20.100000000000001" customHeight="1" thickBot="1" x14ac:dyDescent="0.3">
      <c r="A101" s="142">
        <f t="shared" si="41"/>
        <v>532</v>
      </c>
      <c r="B101" s="146"/>
      <c r="C101" s="5"/>
      <c r="D101" s="74"/>
      <c r="E101" s="4"/>
      <c r="F101" s="155" t="str">
        <f t="shared" si="42"/>
        <v/>
      </c>
      <c r="G101" s="168"/>
      <c r="H101" s="75" t="str">
        <f>IF(G101="","",G101-C101-($F$4)*G101)</f>
        <v/>
      </c>
      <c r="I101" s="72" t="str">
        <f>IF(G101="","",H101/G101)</f>
        <v/>
      </c>
      <c r="J101" s="47" t="str">
        <f t="shared" si="30"/>
        <v/>
      </c>
      <c r="K101" s="127" t="str">
        <f t="shared" si="31"/>
        <v/>
      </c>
    </row>
    <row r="102" spans="1:11" ht="20.100000000000001" customHeight="1" thickBot="1" x14ac:dyDescent="0.3">
      <c r="A102" s="143">
        <f t="shared" si="41"/>
        <v>732</v>
      </c>
      <c r="B102" s="146"/>
      <c r="C102" s="5"/>
      <c r="D102" s="74"/>
      <c r="E102" s="4"/>
      <c r="F102" s="155" t="str">
        <f t="shared" si="42"/>
        <v/>
      </c>
      <c r="G102" s="168"/>
      <c r="H102" s="75" t="str">
        <f t="shared" ref="H102:H103" si="49">IF(G102="","",G102-C102-($F$4)*G102)</f>
        <v/>
      </c>
      <c r="I102" s="72" t="str">
        <f t="shared" ref="I102:I103" si="50">IF(G102="","",H102/G102)</f>
        <v/>
      </c>
      <c r="J102" s="47" t="str">
        <f t="shared" si="30"/>
        <v/>
      </c>
      <c r="K102" s="127" t="str">
        <f t="shared" si="31"/>
        <v/>
      </c>
    </row>
    <row r="103" spans="1:11" ht="20.100000000000001" customHeight="1" thickBot="1" x14ac:dyDescent="0.3">
      <c r="A103" s="143">
        <f t="shared" si="41"/>
        <v>932</v>
      </c>
      <c r="B103" s="146"/>
      <c r="C103" s="5"/>
      <c r="D103" s="74"/>
      <c r="E103" s="4"/>
      <c r="F103" s="155" t="str">
        <f t="shared" si="42"/>
        <v/>
      </c>
      <c r="G103" s="168"/>
      <c r="H103" s="75" t="str">
        <f t="shared" si="49"/>
        <v/>
      </c>
      <c r="I103" s="72" t="str">
        <f t="shared" si="50"/>
        <v/>
      </c>
      <c r="J103" s="47" t="str">
        <f t="shared" si="30"/>
        <v/>
      </c>
      <c r="K103" s="127" t="str">
        <f t="shared" si="31"/>
        <v/>
      </c>
    </row>
    <row r="104" spans="1:11" ht="20.100000000000001" customHeight="1" thickBot="1" x14ac:dyDescent="0.3">
      <c r="A104" s="142">
        <f t="shared" si="41"/>
        <v>533</v>
      </c>
      <c r="B104" s="146"/>
      <c r="C104" s="5"/>
      <c r="D104" s="74"/>
      <c r="E104" s="4"/>
      <c r="F104" s="155" t="str">
        <f t="shared" si="42"/>
        <v/>
      </c>
      <c r="G104" s="168"/>
      <c r="H104" s="75" t="str">
        <f>IF(G104="","",G104-C104-($F$4)*G104)</f>
        <v/>
      </c>
      <c r="I104" s="72" t="str">
        <f>IF(G104="","",H104/G104)</f>
        <v/>
      </c>
      <c r="J104" s="47" t="str">
        <f t="shared" si="30"/>
        <v/>
      </c>
      <c r="K104" s="127" t="str">
        <f t="shared" si="31"/>
        <v/>
      </c>
    </row>
    <row r="105" spans="1:11" ht="20.100000000000001" customHeight="1" thickBot="1" x14ac:dyDescent="0.3">
      <c r="A105" s="143">
        <f t="shared" si="41"/>
        <v>733</v>
      </c>
      <c r="B105" s="146"/>
      <c r="C105" s="5"/>
      <c r="D105" s="74"/>
      <c r="E105" s="4"/>
      <c r="F105" s="155" t="str">
        <f t="shared" si="42"/>
        <v/>
      </c>
      <c r="G105" s="168"/>
      <c r="H105" s="75" t="str">
        <f t="shared" ref="H105:H106" si="51">IF(G105="","",G105-C105-($F$4)*G105)</f>
        <v/>
      </c>
      <c r="I105" s="72" t="str">
        <f t="shared" ref="I105:I106" si="52">IF(G105="","",H105/G105)</f>
        <v/>
      </c>
      <c r="J105" s="47" t="str">
        <f t="shared" si="30"/>
        <v/>
      </c>
      <c r="K105" s="127" t="str">
        <f t="shared" si="31"/>
        <v/>
      </c>
    </row>
    <row r="106" spans="1:11" ht="20.100000000000001" customHeight="1" thickBot="1" x14ac:dyDescent="0.3">
      <c r="A106" s="143">
        <f t="shared" si="41"/>
        <v>933</v>
      </c>
      <c r="B106" s="146"/>
      <c r="C106" s="5"/>
      <c r="D106" s="74"/>
      <c r="E106" s="4"/>
      <c r="F106" s="155" t="str">
        <f t="shared" si="42"/>
        <v/>
      </c>
      <c r="G106" s="168"/>
      <c r="H106" s="75" t="str">
        <f t="shared" si="51"/>
        <v/>
      </c>
      <c r="I106" s="72" t="str">
        <f t="shared" si="52"/>
        <v/>
      </c>
      <c r="J106" s="47" t="str">
        <f t="shared" si="30"/>
        <v/>
      </c>
      <c r="K106" s="127" t="str">
        <f t="shared" si="31"/>
        <v/>
      </c>
    </row>
    <row r="107" spans="1:11" ht="20.100000000000001" customHeight="1" thickBot="1" x14ac:dyDescent="0.3">
      <c r="A107" s="142">
        <f t="shared" si="41"/>
        <v>534</v>
      </c>
      <c r="B107" s="146"/>
      <c r="C107" s="5"/>
      <c r="D107" s="74"/>
      <c r="E107" s="4"/>
      <c r="F107" s="155" t="str">
        <f t="shared" si="42"/>
        <v/>
      </c>
      <c r="G107" s="168"/>
      <c r="H107" s="75" t="str">
        <f>IF(G107="","",G107-C107-($F$4)*G107)</f>
        <v/>
      </c>
      <c r="I107" s="72" t="str">
        <f>IF(G107="","",H107/G107)</f>
        <v/>
      </c>
      <c r="J107" s="47" t="str">
        <f t="shared" si="30"/>
        <v/>
      </c>
      <c r="K107" s="127" t="str">
        <f t="shared" si="31"/>
        <v/>
      </c>
    </row>
    <row r="108" spans="1:11" ht="20.100000000000001" customHeight="1" thickBot="1" x14ac:dyDescent="0.3">
      <c r="A108" s="143">
        <f t="shared" si="41"/>
        <v>734</v>
      </c>
      <c r="B108" s="146"/>
      <c r="C108" s="5"/>
      <c r="D108" s="74"/>
      <c r="E108" s="4"/>
      <c r="F108" s="155" t="str">
        <f t="shared" si="42"/>
        <v/>
      </c>
      <c r="G108" s="168"/>
      <c r="H108" s="75" t="str">
        <f t="shared" ref="H108:H109" si="53">IF(G108="","",G108-C108-($F$4)*G108)</f>
        <v/>
      </c>
      <c r="I108" s="72" t="str">
        <f t="shared" ref="I108:I109" si="54">IF(G108="","",H108/G108)</f>
        <v/>
      </c>
      <c r="J108" s="47" t="str">
        <f t="shared" si="30"/>
        <v/>
      </c>
      <c r="K108" s="127" t="str">
        <f t="shared" si="31"/>
        <v/>
      </c>
    </row>
    <row r="109" spans="1:11" ht="20.100000000000001" customHeight="1" thickBot="1" x14ac:dyDescent="0.3">
      <c r="A109" s="143">
        <f t="shared" si="41"/>
        <v>934</v>
      </c>
      <c r="B109" s="146"/>
      <c r="C109" s="5"/>
      <c r="D109" s="74"/>
      <c r="E109" s="4"/>
      <c r="F109" s="155" t="str">
        <f t="shared" si="42"/>
        <v/>
      </c>
      <c r="G109" s="168"/>
      <c r="H109" s="75" t="str">
        <f t="shared" si="53"/>
        <v/>
      </c>
      <c r="I109" s="72" t="str">
        <f t="shared" si="54"/>
        <v/>
      </c>
      <c r="J109" s="47" t="str">
        <f t="shared" si="30"/>
        <v/>
      </c>
      <c r="K109" s="127" t="str">
        <f t="shared" si="31"/>
        <v/>
      </c>
    </row>
    <row r="110" spans="1:11" ht="20.100000000000001" customHeight="1" thickBot="1" x14ac:dyDescent="0.3">
      <c r="A110" s="142">
        <f t="shared" si="41"/>
        <v>535</v>
      </c>
      <c r="B110" s="146"/>
      <c r="C110" s="5"/>
      <c r="D110" s="74"/>
      <c r="E110" s="4"/>
      <c r="F110" s="155" t="str">
        <f t="shared" si="42"/>
        <v/>
      </c>
      <c r="G110" s="168"/>
      <c r="H110" s="75" t="str">
        <f>IF(G110="","",G110-C110-($F$4)*G110)</f>
        <v/>
      </c>
      <c r="I110" s="72" t="str">
        <f>IF(G110="","",H110/G110)</f>
        <v/>
      </c>
      <c r="J110" s="47" t="str">
        <f t="shared" si="30"/>
        <v/>
      </c>
      <c r="K110" s="127" t="str">
        <f t="shared" si="31"/>
        <v/>
      </c>
    </row>
    <row r="111" spans="1:11" ht="20.100000000000001" customHeight="1" thickBot="1" x14ac:dyDescent="0.3">
      <c r="A111" s="143">
        <f t="shared" si="41"/>
        <v>735</v>
      </c>
      <c r="B111" s="146"/>
      <c r="C111" s="5"/>
      <c r="D111" s="74"/>
      <c r="E111" s="4"/>
      <c r="F111" s="155" t="str">
        <f t="shared" si="42"/>
        <v/>
      </c>
      <c r="G111" s="168"/>
      <c r="H111" s="75" t="str">
        <f t="shared" ref="H111:H112" si="55">IF(G111="","",G111-C111-($F$4)*G111)</f>
        <v/>
      </c>
      <c r="I111" s="72" t="str">
        <f t="shared" ref="I111:I112" si="56">IF(G111="","",H111/G111)</f>
        <v/>
      </c>
      <c r="J111" s="47" t="str">
        <f t="shared" si="30"/>
        <v/>
      </c>
      <c r="K111" s="127" t="str">
        <f t="shared" si="31"/>
        <v/>
      </c>
    </row>
    <row r="112" spans="1:11" ht="20.100000000000001" customHeight="1" thickBot="1" x14ac:dyDescent="0.3">
      <c r="A112" s="143">
        <f t="shared" si="41"/>
        <v>935</v>
      </c>
      <c r="B112" s="146"/>
      <c r="C112" s="5"/>
      <c r="D112" s="74"/>
      <c r="E112" s="4"/>
      <c r="F112" s="155" t="str">
        <f t="shared" si="42"/>
        <v/>
      </c>
      <c r="G112" s="168"/>
      <c r="H112" s="75" t="str">
        <f t="shared" si="55"/>
        <v/>
      </c>
      <c r="I112" s="72" t="str">
        <f t="shared" si="56"/>
        <v/>
      </c>
      <c r="J112" s="47" t="str">
        <f t="shared" si="30"/>
        <v/>
      </c>
      <c r="K112" s="127" t="str">
        <f t="shared" si="31"/>
        <v/>
      </c>
    </row>
    <row r="113" spans="1:11" ht="20.100000000000001" customHeight="1" thickBot="1" x14ac:dyDescent="0.3">
      <c r="A113" s="142">
        <f t="shared" si="41"/>
        <v>536</v>
      </c>
      <c r="B113" s="146"/>
      <c r="C113" s="5"/>
      <c r="D113" s="74"/>
      <c r="E113" s="4"/>
      <c r="F113" s="155" t="str">
        <f t="shared" si="42"/>
        <v/>
      </c>
      <c r="G113" s="168"/>
      <c r="H113" s="75" t="str">
        <f>IF(G113="","",G113-C113-($F$4)*G113)</f>
        <v/>
      </c>
      <c r="I113" s="72" t="str">
        <f>IF(G113="","",H113/G113)</f>
        <v/>
      </c>
      <c r="J113" s="47" t="str">
        <f t="shared" si="30"/>
        <v/>
      </c>
      <c r="K113" s="127" t="str">
        <f t="shared" si="31"/>
        <v/>
      </c>
    </row>
    <row r="114" spans="1:11" ht="20.100000000000001" customHeight="1" thickBot="1" x14ac:dyDescent="0.3">
      <c r="A114" s="143">
        <f t="shared" si="41"/>
        <v>736</v>
      </c>
      <c r="B114" s="146"/>
      <c r="C114" s="5"/>
      <c r="D114" s="74"/>
      <c r="E114" s="4"/>
      <c r="F114" s="155" t="str">
        <f t="shared" si="42"/>
        <v/>
      </c>
      <c r="G114" s="168"/>
      <c r="H114" s="75" t="str">
        <f t="shared" ref="H114:H115" si="57">IF(G114="","",G114-C114-($F$4)*G114)</f>
        <v/>
      </c>
      <c r="I114" s="72" t="str">
        <f t="shared" ref="I114:I177" si="58">IF(G114="","",H114/G114)</f>
        <v/>
      </c>
      <c r="J114" s="47" t="str">
        <f t="shared" si="30"/>
        <v/>
      </c>
      <c r="K114" s="127" t="str">
        <f t="shared" si="31"/>
        <v/>
      </c>
    </row>
    <row r="115" spans="1:11" ht="20.100000000000001" customHeight="1" thickBot="1" x14ac:dyDescent="0.3">
      <c r="A115" s="143">
        <f t="shared" si="41"/>
        <v>936</v>
      </c>
      <c r="B115" s="146"/>
      <c r="C115" s="5"/>
      <c r="D115" s="74"/>
      <c r="E115" s="4"/>
      <c r="F115" s="155" t="str">
        <f t="shared" si="42"/>
        <v/>
      </c>
      <c r="G115" s="168"/>
      <c r="H115" s="75" t="str">
        <f t="shared" si="57"/>
        <v/>
      </c>
      <c r="I115" s="72" t="str">
        <f t="shared" si="58"/>
        <v/>
      </c>
      <c r="J115" s="47" t="str">
        <f t="shared" si="30"/>
        <v/>
      </c>
      <c r="K115" s="127" t="str">
        <f t="shared" si="31"/>
        <v/>
      </c>
    </row>
    <row r="116" spans="1:11" ht="20.100000000000001" customHeight="1" thickBot="1" x14ac:dyDescent="0.3">
      <c r="A116" s="142">
        <f t="shared" si="41"/>
        <v>537</v>
      </c>
      <c r="B116" s="146"/>
      <c r="C116" s="5"/>
      <c r="D116" s="74"/>
      <c r="E116" s="4"/>
      <c r="F116" s="155" t="str">
        <f t="shared" si="42"/>
        <v/>
      </c>
      <c r="G116" s="168"/>
      <c r="H116" s="4"/>
      <c r="I116" s="72" t="str">
        <f t="shared" si="58"/>
        <v/>
      </c>
      <c r="J116" s="47" t="str">
        <f t="shared" si="30"/>
        <v/>
      </c>
      <c r="K116" s="127" t="str">
        <f t="shared" si="31"/>
        <v/>
      </c>
    </row>
    <row r="117" spans="1:11" ht="20.100000000000001" customHeight="1" thickBot="1" x14ac:dyDescent="0.3">
      <c r="A117" s="143">
        <f t="shared" si="41"/>
        <v>737</v>
      </c>
      <c r="B117" s="146"/>
      <c r="C117" s="5"/>
      <c r="D117" s="74"/>
      <c r="E117" s="4"/>
      <c r="F117" s="155" t="str">
        <f t="shared" si="42"/>
        <v/>
      </c>
      <c r="G117" s="168"/>
      <c r="H117" s="4"/>
      <c r="I117" s="72" t="str">
        <f t="shared" si="58"/>
        <v/>
      </c>
      <c r="J117" s="47" t="str">
        <f t="shared" si="30"/>
        <v/>
      </c>
      <c r="K117" s="127" t="str">
        <f t="shared" si="31"/>
        <v/>
      </c>
    </row>
    <row r="118" spans="1:11" ht="20.100000000000001" customHeight="1" thickBot="1" x14ac:dyDescent="0.3">
      <c r="A118" s="143">
        <f t="shared" si="41"/>
        <v>937</v>
      </c>
      <c r="B118" s="146"/>
      <c r="C118" s="5"/>
      <c r="D118" s="74"/>
      <c r="E118" s="4"/>
      <c r="F118" s="155" t="str">
        <f t="shared" si="42"/>
        <v/>
      </c>
      <c r="G118" s="168"/>
      <c r="H118" s="4"/>
      <c r="I118" s="72" t="str">
        <f t="shared" si="58"/>
        <v/>
      </c>
      <c r="J118" s="47" t="str">
        <f t="shared" si="30"/>
        <v/>
      </c>
      <c r="K118" s="127" t="str">
        <f t="shared" si="31"/>
        <v/>
      </c>
    </row>
    <row r="119" spans="1:11" ht="20.100000000000001" customHeight="1" thickBot="1" x14ac:dyDescent="0.3">
      <c r="A119" s="142">
        <f t="shared" si="41"/>
        <v>538</v>
      </c>
      <c r="B119" s="146"/>
      <c r="C119" s="5"/>
      <c r="D119" s="74"/>
      <c r="E119" s="4"/>
      <c r="F119" s="155" t="str">
        <f t="shared" si="42"/>
        <v/>
      </c>
      <c r="G119" s="168"/>
      <c r="H119" s="4"/>
      <c r="I119" s="72" t="str">
        <f t="shared" si="58"/>
        <v/>
      </c>
      <c r="J119" s="47" t="str">
        <f t="shared" si="30"/>
        <v/>
      </c>
      <c r="K119" s="127" t="str">
        <f t="shared" si="31"/>
        <v/>
      </c>
    </row>
    <row r="120" spans="1:11" ht="20.100000000000001" customHeight="1" thickBot="1" x14ac:dyDescent="0.3">
      <c r="A120" s="143">
        <f t="shared" si="41"/>
        <v>738</v>
      </c>
      <c r="B120" s="146"/>
      <c r="C120" s="5"/>
      <c r="D120" s="74"/>
      <c r="E120" s="4"/>
      <c r="F120" s="155" t="str">
        <f t="shared" si="42"/>
        <v/>
      </c>
      <c r="G120" s="168"/>
      <c r="H120" s="4"/>
      <c r="I120" s="72" t="str">
        <f t="shared" si="58"/>
        <v/>
      </c>
      <c r="J120" s="47" t="str">
        <f t="shared" si="30"/>
        <v/>
      </c>
      <c r="K120" s="127" t="str">
        <f t="shared" si="31"/>
        <v/>
      </c>
    </row>
    <row r="121" spans="1:11" ht="20.100000000000001" customHeight="1" thickBot="1" x14ac:dyDescent="0.3">
      <c r="A121" s="143">
        <f t="shared" si="41"/>
        <v>938</v>
      </c>
      <c r="B121" s="146"/>
      <c r="C121" s="5"/>
      <c r="D121" s="74"/>
      <c r="E121" s="4"/>
      <c r="F121" s="155" t="str">
        <f t="shared" si="42"/>
        <v/>
      </c>
      <c r="G121" s="168"/>
      <c r="H121" s="4"/>
      <c r="I121" s="72" t="str">
        <f t="shared" si="58"/>
        <v/>
      </c>
      <c r="J121" s="47" t="str">
        <f t="shared" si="30"/>
        <v/>
      </c>
      <c r="K121" s="127" t="str">
        <f t="shared" si="31"/>
        <v/>
      </c>
    </row>
    <row r="122" spans="1:11" ht="20.100000000000001" customHeight="1" thickBot="1" x14ac:dyDescent="0.3">
      <c r="A122" s="142">
        <f t="shared" ref="A122:A153" si="59">A119+1</f>
        <v>539</v>
      </c>
      <c r="B122" s="146"/>
      <c r="C122" s="5"/>
      <c r="D122" s="74"/>
      <c r="E122" s="4"/>
      <c r="F122" s="155" t="str">
        <f t="shared" si="42"/>
        <v/>
      </c>
      <c r="G122" s="168"/>
      <c r="H122" s="4"/>
      <c r="I122" s="72" t="str">
        <f t="shared" si="58"/>
        <v/>
      </c>
      <c r="J122" s="47" t="str">
        <f t="shared" si="30"/>
        <v/>
      </c>
      <c r="K122" s="127" t="str">
        <f t="shared" si="31"/>
        <v/>
      </c>
    </row>
    <row r="123" spans="1:11" ht="20.100000000000001" customHeight="1" thickBot="1" x14ac:dyDescent="0.3">
      <c r="A123" s="143">
        <f t="shared" si="59"/>
        <v>739</v>
      </c>
      <c r="B123" s="146"/>
      <c r="C123" s="5"/>
      <c r="D123" s="74"/>
      <c r="E123" s="4"/>
      <c r="F123" s="155" t="str">
        <f t="shared" si="42"/>
        <v/>
      </c>
      <c r="G123" s="168"/>
      <c r="H123" s="4"/>
      <c r="I123" s="72" t="str">
        <f t="shared" si="58"/>
        <v/>
      </c>
      <c r="J123" s="47" t="str">
        <f t="shared" si="30"/>
        <v/>
      </c>
      <c r="K123" s="127" t="str">
        <f t="shared" si="31"/>
        <v/>
      </c>
    </row>
    <row r="124" spans="1:11" ht="20.100000000000001" customHeight="1" thickBot="1" x14ac:dyDescent="0.3">
      <c r="A124" s="143">
        <f t="shared" si="59"/>
        <v>939</v>
      </c>
      <c r="B124" s="146"/>
      <c r="C124" s="5"/>
      <c r="D124" s="74"/>
      <c r="E124" s="4"/>
      <c r="F124" s="155" t="str">
        <f t="shared" si="42"/>
        <v/>
      </c>
      <c r="G124" s="168"/>
      <c r="H124" s="4"/>
      <c r="I124" s="72" t="str">
        <f t="shared" si="58"/>
        <v/>
      </c>
      <c r="J124" s="47" t="str">
        <f t="shared" si="30"/>
        <v/>
      </c>
      <c r="K124" s="127" t="str">
        <f t="shared" si="31"/>
        <v/>
      </c>
    </row>
    <row r="125" spans="1:11" ht="20.100000000000001" customHeight="1" thickBot="1" x14ac:dyDescent="0.3">
      <c r="A125" s="142">
        <f t="shared" si="59"/>
        <v>540</v>
      </c>
      <c r="B125" s="146"/>
      <c r="C125" s="5"/>
      <c r="D125" s="74"/>
      <c r="E125" s="4"/>
      <c r="F125" s="155" t="str">
        <f t="shared" si="42"/>
        <v/>
      </c>
      <c r="G125" s="168"/>
      <c r="H125" s="4"/>
      <c r="I125" s="72" t="str">
        <f t="shared" si="58"/>
        <v/>
      </c>
      <c r="J125" s="47" t="str">
        <f t="shared" si="30"/>
        <v/>
      </c>
      <c r="K125" s="127" t="str">
        <f t="shared" si="31"/>
        <v/>
      </c>
    </row>
    <row r="126" spans="1:11" ht="20.100000000000001" customHeight="1" thickBot="1" x14ac:dyDescent="0.3">
      <c r="A126" s="143">
        <f t="shared" si="59"/>
        <v>740</v>
      </c>
      <c r="B126" s="146"/>
      <c r="C126" s="5"/>
      <c r="D126" s="74"/>
      <c r="E126" s="4"/>
      <c r="F126" s="155" t="str">
        <f t="shared" si="42"/>
        <v/>
      </c>
      <c r="G126" s="168"/>
      <c r="H126" s="4"/>
      <c r="I126" s="72" t="str">
        <f t="shared" si="58"/>
        <v/>
      </c>
      <c r="J126" s="47" t="str">
        <f t="shared" si="30"/>
        <v/>
      </c>
      <c r="K126" s="127" t="str">
        <f t="shared" si="31"/>
        <v/>
      </c>
    </row>
    <row r="127" spans="1:11" ht="20.100000000000001" customHeight="1" thickBot="1" x14ac:dyDescent="0.3">
      <c r="A127" s="143">
        <f t="shared" si="59"/>
        <v>940</v>
      </c>
      <c r="B127" s="146"/>
      <c r="C127" s="5"/>
      <c r="D127" s="74"/>
      <c r="E127" s="4"/>
      <c r="F127" s="155" t="str">
        <f t="shared" si="42"/>
        <v/>
      </c>
      <c r="G127" s="168"/>
      <c r="H127" s="4"/>
      <c r="I127" s="72" t="str">
        <f t="shared" si="58"/>
        <v/>
      </c>
      <c r="J127" s="47" t="str">
        <f t="shared" si="30"/>
        <v/>
      </c>
      <c r="K127" s="127" t="str">
        <f t="shared" si="31"/>
        <v/>
      </c>
    </row>
    <row r="128" spans="1:11" ht="20.100000000000001" customHeight="1" thickBot="1" x14ac:dyDescent="0.3">
      <c r="A128" s="142">
        <f t="shared" si="59"/>
        <v>541</v>
      </c>
      <c r="B128" s="146"/>
      <c r="C128" s="5"/>
      <c r="D128" s="74"/>
      <c r="E128" s="4"/>
      <c r="F128" s="155" t="str">
        <f t="shared" si="42"/>
        <v/>
      </c>
      <c r="G128" s="168"/>
      <c r="H128" s="4"/>
      <c r="I128" s="72" t="str">
        <f t="shared" si="58"/>
        <v/>
      </c>
      <c r="J128" s="47" t="str">
        <f t="shared" si="30"/>
        <v/>
      </c>
      <c r="K128" s="127" t="str">
        <f t="shared" si="31"/>
        <v/>
      </c>
    </row>
    <row r="129" spans="1:11" ht="20.100000000000001" customHeight="1" thickBot="1" x14ac:dyDescent="0.3">
      <c r="A129" s="143">
        <f t="shared" si="59"/>
        <v>741</v>
      </c>
      <c r="B129" s="146"/>
      <c r="C129" s="5"/>
      <c r="D129" s="74"/>
      <c r="E129" s="4"/>
      <c r="F129" s="155" t="str">
        <f t="shared" si="42"/>
        <v/>
      </c>
      <c r="G129" s="168"/>
      <c r="H129" s="4"/>
      <c r="I129" s="72" t="str">
        <f t="shared" si="58"/>
        <v/>
      </c>
      <c r="J129" s="47" t="str">
        <f t="shared" si="30"/>
        <v/>
      </c>
      <c r="K129" s="127" t="str">
        <f t="shared" si="31"/>
        <v/>
      </c>
    </row>
    <row r="130" spans="1:11" ht="20.100000000000001" customHeight="1" thickBot="1" x14ac:dyDescent="0.3">
      <c r="A130" s="143">
        <f t="shared" si="59"/>
        <v>941</v>
      </c>
      <c r="B130" s="146"/>
      <c r="C130" s="5"/>
      <c r="D130" s="74"/>
      <c r="E130" s="4"/>
      <c r="F130" s="155" t="str">
        <f t="shared" si="42"/>
        <v/>
      </c>
      <c r="G130" s="168"/>
      <c r="H130" s="4"/>
      <c r="I130" s="72" t="str">
        <f t="shared" si="58"/>
        <v/>
      </c>
      <c r="J130" s="47" t="str">
        <f t="shared" si="30"/>
        <v/>
      </c>
      <c r="K130" s="127" t="str">
        <f t="shared" si="31"/>
        <v/>
      </c>
    </row>
    <row r="131" spans="1:11" ht="20.100000000000001" customHeight="1" thickBot="1" x14ac:dyDescent="0.3">
      <c r="A131" s="142">
        <f t="shared" si="59"/>
        <v>542</v>
      </c>
      <c r="B131" s="146"/>
      <c r="C131" s="5"/>
      <c r="D131" s="74"/>
      <c r="E131" s="4"/>
      <c r="F131" s="155" t="str">
        <f t="shared" si="42"/>
        <v/>
      </c>
      <c r="G131" s="168"/>
      <c r="H131" s="4"/>
      <c r="I131" s="72" t="str">
        <f t="shared" si="58"/>
        <v/>
      </c>
      <c r="J131" s="47" t="str">
        <f t="shared" si="30"/>
        <v/>
      </c>
      <c r="K131" s="127" t="str">
        <f t="shared" si="31"/>
        <v/>
      </c>
    </row>
    <row r="132" spans="1:11" ht="20.100000000000001" customHeight="1" thickBot="1" x14ac:dyDescent="0.3">
      <c r="A132" s="143">
        <f t="shared" si="59"/>
        <v>742</v>
      </c>
      <c r="B132" s="146"/>
      <c r="C132" s="5"/>
      <c r="D132" s="74"/>
      <c r="E132" s="4"/>
      <c r="F132" s="155" t="str">
        <f t="shared" si="42"/>
        <v/>
      </c>
      <c r="G132" s="168"/>
      <c r="H132" s="4"/>
      <c r="I132" s="72" t="str">
        <f t="shared" si="58"/>
        <v/>
      </c>
      <c r="J132" s="47" t="str">
        <f t="shared" si="30"/>
        <v/>
      </c>
      <c r="K132" s="127" t="str">
        <f t="shared" si="31"/>
        <v/>
      </c>
    </row>
    <row r="133" spans="1:11" ht="20.100000000000001" customHeight="1" thickBot="1" x14ac:dyDescent="0.3">
      <c r="A133" s="143">
        <f t="shared" si="59"/>
        <v>942</v>
      </c>
      <c r="B133" s="146"/>
      <c r="C133" s="5"/>
      <c r="D133" s="74"/>
      <c r="E133" s="4"/>
      <c r="F133" s="155" t="str">
        <f t="shared" si="42"/>
        <v/>
      </c>
      <c r="G133" s="168"/>
      <c r="H133" s="4"/>
      <c r="I133" s="72" t="str">
        <f t="shared" si="58"/>
        <v/>
      </c>
      <c r="J133" s="47" t="str">
        <f t="shared" si="30"/>
        <v/>
      </c>
      <c r="K133" s="127" t="str">
        <f t="shared" si="31"/>
        <v/>
      </c>
    </row>
    <row r="134" spans="1:11" ht="20.100000000000001" customHeight="1" thickBot="1" x14ac:dyDescent="0.3">
      <c r="A134" s="142">
        <f t="shared" si="59"/>
        <v>543</v>
      </c>
      <c r="B134" s="146"/>
      <c r="C134" s="5"/>
      <c r="D134" s="74"/>
      <c r="E134" s="4"/>
      <c r="F134" s="155" t="str">
        <f t="shared" si="42"/>
        <v/>
      </c>
      <c r="G134" s="168"/>
      <c r="H134" s="4"/>
      <c r="I134" s="72" t="str">
        <f t="shared" si="58"/>
        <v/>
      </c>
      <c r="J134" s="47" t="str">
        <f t="shared" si="30"/>
        <v/>
      </c>
      <c r="K134" s="127" t="str">
        <f t="shared" si="31"/>
        <v/>
      </c>
    </row>
    <row r="135" spans="1:11" ht="20.100000000000001" customHeight="1" thickBot="1" x14ac:dyDescent="0.3">
      <c r="A135" s="143">
        <f t="shared" si="59"/>
        <v>743</v>
      </c>
      <c r="B135" s="146"/>
      <c r="C135" s="5"/>
      <c r="D135" s="74"/>
      <c r="E135" s="4"/>
      <c r="F135" s="155" t="str">
        <f t="shared" si="42"/>
        <v/>
      </c>
      <c r="G135" s="168"/>
      <c r="H135" s="4"/>
      <c r="I135" s="72" t="str">
        <f t="shared" si="58"/>
        <v/>
      </c>
      <c r="J135" s="47" t="str">
        <f t="shared" si="30"/>
        <v/>
      </c>
      <c r="K135" s="127" t="str">
        <f t="shared" si="31"/>
        <v/>
      </c>
    </row>
    <row r="136" spans="1:11" ht="20.100000000000001" customHeight="1" thickBot="1" x14ac:dyDescent="0.3">
      <c r="A136" s="143">
        <f t="shared" si="59"/>
        <v>943</v>
      </c>
      <c r="B136" s="146"/>
      <c r="C136" s="5"/>
      <c r="D136" s="74"/>
      <c r="E136" s="4"/>
      <c r="F136" s="155" t="str">
        <f t="shared" si="42"/>
        <v/>
      </c>
      <c r="G136" s="168"/>
      <c r="H136" s="4"/>
      <c r="I136" s="72" t="str">
        <f t="shared" si="58"/>
        <v/>
      </c>
      <c r="J136" s="47" t="str">
        <f t="shared" si="30"/>
        <v/>
      </c>
      <c r="K136" s="127" t="str">
        <f t="shared" si="31"/>
        <v/>
      </c>
    </row>
    <row r="137" spans="1:11" ht="20.100000000000001" customHeight="1" thickBot="1" x14ac:dyDescent="0.3">
      <c r="A137" s="142">
        <f t="shared" si="59"/>
        <v>544</v>
      </c>
      <c r="B137" s="146"/>
      <c r="C137" s="5"/>
      <c r="D137" s="74"/>
      <c r="E137" s="4"/>
      <c r="F137" s="155" t="str">
        <f t="shared" ref="F137:F200" si="60">IFERROR(C137/G137,"")</f>
        <v/>
      </c>
      <c r="G137" s="168"/>
      <c r="H137" s="4"/>
      <c r="I137" s="72" t="str">
        <f t="shared" si="58"/>
        <v/>
      </c>
      <c r="J137" s="47" t="str">
        <f t="shared" ref="J137:J200" si="61">IF(G137="","",H137-G137*$C$1)</f>
        <v/>
      </c>
      <c r="K137" s="127" t="str">
        <f t="shared" ref="K137:K200" si="62">IFERROR(J137/G137,"")</f>
        <v/>
      </c>
    </row>
    <row r="138" spans="1:11" ht="20.100000000000001" customHeight="1" thickBot="1" x14ac:dyDescent="0.3">
      <c r="A138" s="143">
        <f t="shared" si="59"/>
        <v>744</v>
      </c>
      <c r="B138" s="146"/>
      <c r="C138" s="5"/>
      <c r="D138" s="74"/>
      <c r="E138" s="4"/>
      <c r="F138" s="155" t="str">
        <f t="shared" si="60"/>
        <v/>
      </c>
      <c r="G138" s="168"/>
      <c r="H138" s="4"/>
      <c r="I138" s="72" t="str">
        <f t="shared" si="58"/>
        <v/>
      </c>
      <c r="J138" s="47" t="str">
        <f t="shared" si="61"/>
        <v/>
      </c>
      <c r="K138" s="127" t="str">
        <f t="shared" si="62"/>
        <v/>
      </c>
    </row>
    <row r="139" spans="1:11" ht="20.100000000000001" customHeight="1" thickBot="1" x14ac:dyDescent="0.3">
      <c r="A139" s="143">
        <f t="shared" si="59"/>
        <v>944</v>
      </c>
      <c r="B139" s="146"/>
      <c r="C139" s="5"/>
      <c r="D139" s="74"/>
      <c r="E139" s="4"/>
      <c r="F139" s="155" t="str">
        <f t="shared" si="60"/>
        <v/>
      </c>
      <c r="G139" s="168"/>
      <c r="H139" s="4"/>
      <c r="I139" s="72" t="str">
        <f t="shared" si="58"/>
        <v/>
      </c>
      <c r="J139" s="47" t="str">
        <f t="shared" si="61"/>
        <v/>
      </c>
      <c r="K139" s="127" t="str">
        <f t="shared" si="62"/>
        <v/>
      </c>
    </row>
    <row r="140" spans="1:11" ht="20.100000000000001" customHeight="1" thickBot="1" x14ac:dyDescent="0.3">
      <c r="A140" s="142">
        <f t="shared" si="59"/>
        <v>545</v>
      </c>
      <c r="B140" s="146"/>
      <c r="C140" s="5"/>
      <c r="D140" s="74"/>
      <c r="E140" s="4"/>
      <c r="F140" s="155" t="str">
        <f t="shared" si="60"/>
        <v/>
      </c>
      <c r="G140" s="168"/>
      <c r="H140" s="4"/>
      <c r="I140" s="72" t="str">
        <f t="shared" si="58"/>
        <v/>
      </c>
      <c r="J140" s="47" t="str">
        <f t="shared" si="61"/>
        <v/>
      </c>
      <c r="K140" s="127" t="str">
        <f t="shared" si="62"/>
        <v/>
      </c>
    </row>
    <row r="141" spans="1:11" ht="20.100000000000001" customHeight="1" thickBot="1" x14ac:dyDescent="0.3">
      <c r="A141" s="143">
        <f t="shared" si="59"/>
        <v>745</v>
      </c>
      <c r="B141" s="146"/>
      <c r="C141" s="5"/>
      <c r="D141" s="74"/>
      <c r="E141" s="4"/>
      <c r="F141" s="155" t="str">
        <f t="shared" si="60"/>
        <v/>
      </c>
      <c r="G141" s="168"/>
      <c r="H141" s="4"/>
      <c r="I141" s="72" t="str">
        <f t="shared" si="58"/>
        <v/>
      </c>
      <c r="J141" s="47" t="str">
        <f t="shared" si="61"/>
        <v/>
      </c>
      <c r="K141" s="127" t="str">
        <f t="shared" si="62"/>
        <v/>
      </c>
    </row>
    <row r="142" spans="1:11" ht="20.100000000000001" customHeight="1" thickBot="1" x14ac:dyDescent="0.3">
      <c r="A142" s="143">
        <f t="shared" si="59"/>
        <v>945</v>
      </c>
      <c r="B142" s="146"/>
      <c r="C142" s="5"/>
      <c r="D142" s="74"/>
      <c r="E142" s="4"/>
      <c r="F142" s="155" t="str">
        <f t="shared" si="60"/>
        <v/>
      </c>
      <c r="G142" s="168"/>
      <c r="H142" s="4"/>
      <c r="I142" s="72" t="str">
        <f t="shared" si="58"/>
        <v/>
      </c>
      <c r="J142" s="47" t="str">
        <f t="shared" si="61"/>
        <v/>
      </c>
      <c r="K142" s="127" t="str">
        <f t="shared" si="62"/>
        <v/>
      </c>
    </row>
    <row r="143" spans="1:11" ht="20.100000000000001" customHeight="1" thickBot="1" x14ac:dyDescent="0.3">
      <c r="A143" s="142">
        <f t="shared" si="59"/>
        <v>546</v>
      </c>
      <c r="B143" s="146"/>
      <c r="C143" s="5"/>
      <c r="D143" s="74"/>
      <c r="E143" s="4"/>
      <c r="F143" s="155" t="str">
        <f t="shared" si="60"/>
        <v/>
      </c>
      <c r="G143" s="168"/>
      <c r="H143" s="4"/>
      <c r="I143" s="72" t="str">
        <f t="shared" si="58"/>
        <v/>
      </c>
      <c r="J143" s="47" t="str">
        <f t="shared" si="61"/>
        <v/>
      </c>
      <c r="K143" s="127" t="str">
        <f t="shared" si="62"/>
        <v/>
      </c>
    </row>
    <row r="144" spans="1:11" ht="20.100000000000001" customHeight="1" thickBot="1" x14ac:dyDescent="0.3">
      <c r="A144" s="143">
        <f t="shared" si="59"/>
        <v>746</v>
      </c>
      <c r="B144" s="146"/>
      <c r="C144" s="5"/>
      <c r="D144" s="74"/>
      <c r="E144" s="4"/>
      <c r="F144" s="155" t="str">
        <f t="shared" si="60"/>
        <v/>
      </c>
      <c r="G144" s="168"/>
      <c r="H144" s="4"/>
      <c r="I144" s="72" t="str">
        <f t="shared" si="58"/>
        <v/>
      </c>
      <c r="J144" s="47" t="str">
        <f t="shared" si="61"/>
        <v/>
      </c>
      <c r="K144" s="127" t="str">
        <f t="shared" si="62"/>
        <v/>
      </c>
    </row>
    <row r="145" spans="1:11" ht="20.100000000000001" customHeight="1" thickBot="1" x14ac:dyDescent="0.3">
      <c r="A145" s="143">
        <f t="shared" si="59"/>
        <v>946</v>
      </c>
      <c r="B145" s="146"/>
      <c r="C145" s="5"/>
      <c r="D145" s="74"/>
      <c r="E145" s="4"/>
      <c r="F145" s="155" t="str">
        <f t="shared" si="60"/>
        <v/>
      </c>
      <c r="G145" s="168"/>
      <c r="H145" s="4"/>
      <c r="I145" s="72" t="str">
        <f t="shared" si="58"/>
        <v/>
      </c>
      <c r="J145" s="47" t="str">
        <f t="shared" si="61"/>
        <v/>
      </c>
      <c r="K145" s="127" t="str">
        <f t="shared" si="62"/>
        <v/>
      </c>
    </row>
    <row r="146" spans="1:11" ht="20.100000000000001" customHeight="1" thickBot="1" x14ac:dyDescent="0.3">
      <c r="A146" s="142">
        <f t="shared" si="59"/>
        <v>547</v>
      </c>
      <c r="B146" s="146"/>
      <c r="C146" s="5"/>
      <c r="D146" s="74"/>
      <c r="E146" s="4"/>
      <c r="F146" s="155" t="str">
        <f t="shared" si="60"/>
        <v/>
      </c>
      <c r="G146" s="168"/>
      <c r="H146" s="4"/>
      <c r="I146" s="72" t="str">
        <f t="shared" si="58"/>
        <v/>
      </c>
      <c r="J146" s="47" t="str">
        <f t="shared" si="61"/>
        <v/>
      </c>
      <c r="K146" s="127" t="str">
        <f t="shared" si="62"/>
        <v/>
      </c>
    </row>
    <row r="147" spans="1:11" ht="20.100000000000001" customHeight="1" thickBot="1" x14ac:dyDescent="0.3">
      <c r="A147" s="143">
        <f t="shared" si="59"/>
        <v>747</v>
      </c>
      <c r="B147" s="146"/>
      <c r="C147" s="5"/>
      <c r="D147" s="74"/>
      <c r="E147" s="4"/>
      <c r="F147" s="155" t="str">
        <f t="shared" si="60"/>
        <v/>
      </c>
      <c r="G147" s="168"/>
      <c r="H147" s="4"/>
      <c r="I147" s="72" t="str">
        <f t="shared" si="58"/>
        <v/>
      </c>
      <c r="J147" s="47" t="str">
        <f t="shared" si="61"/>
        <v/>
      </c>
      <c r="K147" s="127" t="str">
        <f t="shared" si="62"/>
        <v/>
      </c>
    </row>
    <row r="148" spans="1:11" ht="20.100000000000001" customHeight="1" thickBot="1" x14ac:dyDescent="0.3">
      <c r="A148" s="143">
        <f t="shared" si="59"/>
        <v>947</v>
      </c>
      <c r="B148" s="146"/>
      <c r="C148" s="5"/>
      <c r="D148" s="74"/>
      <c r="E148" s="4"/>
      <c r="F148" s="155" t="str">
        <f t="shared" si="60"/>
        <v/>
      </c>
      <c r="G148" s="168"/>
      <c r="H148" s="4"/>
      <c r="I148" s="72" t="str">
        <f t="shared" si="58"/>
        <v/>
      </c>
      <c r="J148" s="47" t="str">
        <f t="shared" si="61"/>
        <v/>
      </c>
      <c r="K148" s="127" t="str">
        <f t="shared" si="62"/>
        <v/>
      </c>
    </row>
    <row r="149" spans="1:11" ht="20.100000000000001" customHeight="1" thickBot="1" x14ac:dyDescent="0.3">
      <c r="A149" s="142">
        <f t="shared" si="59"/>
        <v>548</v>
      </c>
      <c r="B149" s="146"/>
      <c r="C149" s="5"/>
      <c r="D149" s="74"/>
      <c r="E149" s="4"/>
      <c r="F149" s="155" t="str">
        <f t="shared" si="60"/>
        <v/>
      </c>
      <c r="G149" s="168"/>
      <c r="H149" s="4"/>
      <c r="I149" s="72" t="str">
        <f t="shared" si="58"/>
        <v/>
      </c>
      <c r="J149" s="47" t="str">
        <f t="shared" si="61"/>
        <v/>
      </c>
      <c r="K149" s="127" t="str">
        <f t="shared" si="62"/>
        <v/>
      </c>
    </row>
    <row r="150" spans="1:11" ht="20.100000000000001" customHeight="1" thickBot="1" x14ac:dyDescent="0.3">
      <c r="A150" s="143">
        <f t="shared" si="59"/>
        <v>748</v>
      </c>
      <c r="B150" s="146"/>
      <c r="C150" s="5"/>
      <c r="D150" s="74"/>
      <c r="E150" s="4"/>
      <c r="F150" s="155" t="str">
        <f t="shared" si="60"/>
        <v/>
      </c>
      <c r="G150" s="168"/>
      <c r="H150" s="4"/>
      <c r="I150" s="72" t="str">
        <f t="shared" si="58"/>
        <v/>
      </c>
      <c r="J150" s="47" t="str">
        <f t="shared" si="61"/>
        <v/>
      </c>
      <c r="K150" s="127" t="str">
        <f t="shared" si="62"/>
        <v/>
      </c>
    </row>
    <row r="151" spans="1:11" ht="20.100000000000001" customHeight="1" thickBot="1" x14ac:dyDescent="0.3">
      <c r="A151" s="143">
        <f t="shared" si="59"/>
        <v>948</v>
      </c>
      <c r="B151" s="146"/>
      <c r="C151" s="5"/>
      <c r="D151" s="74"/>
      <c r="E151" s="4"/>
      <c r="F151" s="155" t="str">
        <f t="shared" si="60"/>
        <v/>
      </c>
      <c r="G151" s="168"/>
      <c r="H151" s="4"/>
      <c r="I151" s="72" t="str">
        <f t="shared" si="58"/>
        <v/>
      </c>
      <c r="J151" s="47" t="str">
        <f t="shared" si="61"/>
        <v/>
      </c>
      <c r="K151" s="127" t="str">
        <f t="shared" si="62"/>
        <v/>
      </c>
    </row>
    <row r="152" spans="1:11" ht="20.100000000000001" customHeight="1" thickBot="1" x14ac:dyDescent="0.3">
      <c r="A152" s="142">
        <f t="shared" si="59"/>
        <v>549</v>
      </c>
      <c r="B152" s="146"/>
      <c r="C152" s="5"/>
      <c r="D152" s="74"/>
      <c r="E152" s="4"/>
      <c r="F152" s="155" t="str">
        <f t="shared" si="60"/>
        <v/>
      </c>
      <c r="G152" s="168"/>
      <c r="H152" s="4"/>
      <c r="I152" s="72" t="str">
        <f t="shared" si="58"/>
        <v/>
      </c>
      <c r="J152" s="47" t="str">
        <f t="shared" si="61"/>
        <v/>
      </c>
      <c r="K152" s="127" t="str">
        <f t="shared" si="62"/>
        <v/>
      </c>
    </row>
    <row r="153" spans="1:11" ht="20.100000000000001" customHeight="1" thickBot="1" x14ac:dyDescent="0.3">
      <c r="A153" s="143">
        <f t="shared" si="59"/>
        <v>749</v>
      </c>
      <c r="B153" s="146"/>
      <c r="C153" s="5"/>
      <c r="D153" s="74"/>
      <c r="E153" s="4"/>
      <c r="F153" s="155" t="str">
        <f t="shared" si="60"/>
        <v/>
      </c>
      <c r="G153" s="168"/>
      <c r="H153" s="4"/>
      <c r="I153" s="72" t="str">
        <f t="shared" si="58"/>
        <v/>
      </c>
      <c r="J153" s="47" t="str">
        <f t="shared" si="61"/>
        <v/>
      </c>
      <c r="K153" s="127" t="str">
        <f t="shared" si="62"/>
        <v/>
      </c>
    </row>
    <row r="154" spans="1:11" ht="20.100000000000001" customHeight="1" thickBot="1" x14ac:dyDescent="0.3">
      <c r="A154" s="143">
        <f t="shared" ref="A154:A166" si="63">A151+1</f>
        <v>949</v>
      </c>
      <c r="B154" s="146"/>
      <c r="C154" s="5"/>
      <c r="D154" s="74"/>
      <c r="E154" s="4"/>
      <c r="F154" s="155" t="str">
        <f t="shared" si="60"/>
        <v/>
      </c>
      <c r="G154" s="168"/>
      <c r="H154" s="4"/>
      <c r="I154" s="72" t="str">
        <f t="shared" si="58"/>
        <v/>
      </c>
      <c r="J154" s="47" t="str">
        <f t="shared" si="61"/>
        <v/>
      </c>
      <c r="K154" s="127" t="str">
        <f t="shared" si="62"/>
        <v/>
      </c>
    </row>
    <row r="155" spans="1:11" ht="20.100000000000001" customHeight="1" thickBot="1" x14ac:dyDescent="0.3">
      <c r="A155" s="142">
        <f t="shared" si="63"/>
        <v>550</v>
      </c>
      <c r="B155" s="146"/>
      <c r="C155" s="5"/>
      <c r="D155" s="74"/>
      <c r="E155" s="4"/>
      <c r="F155" s="155" t="str">
        <f t="shared" si="60"/>
        <v/>
      </c>
      <c r="G155" s="168"/>
      <c r="H155" s="4"/>
      <c r="I155" s="72" t="str">
        <f t="shared" si="58"/>
        <v/>
      </c>
      <c r="J155" s="47" t="str">
        <f t="shared" si="61"/>
        <v/>
      </c>
      <c r="K155" s="127" t="str">
        <f t="shared" si="62"/>
        <v/>
      </c>
    </row>
    <row r="156" spans="1:11" ht="20.100000000000001" customHeight="1" thickBot="1" x14ac:dyDescent="0.3">
      <c r="A156" s="143">
        <f t="shared" si="63"/>
        <v>750</v>
      </c>
      <c r="B156" s="146"/>
      <c r="C156" s="5"/>
      <c r="D156" s="74"/>
      <c r="E156" s="4"/>
      <c r="F156" s="155" t="str">
        <f t="shared" si="60"/>
        <v/>
      </c>
      <c r="G156" s="168"/>
      <c r="H156" s="4"/>
      <c r="I156" s="72" t="str">
        <f t="shared" si="58"/>
        <v/>
      </c>
      <c r="J156" s="47" t="str">
        <f t="shared" si="61"/>
        <v/>
      </c>
      <c r="K156" s="127" t="str">
        <f t="shared" si="62"/>
        <v/>
      </c>
    </row>
    <row r="157" spans="1:11" ht="20.100000000000001" customHeight="1" thickBot="1" x14ac:dyDescent="0.3">
      <c r="A157" s="143">
        <f t="shared" si="63"/>
        <v>950</v>
      </c>
      <c r="B157" s="146"/>
      <c r="C157" s="5"/>
      <c r="D157" s="74"/>
      <c r="E157" s="4"/>
      <c r="F157" s="155" t="str">
        <f t="shared" si="60"/>
        <v/>
      </c>
      <c r="G157" s="168"/>
      <c r="H157" s="4"/>
      <c r="I157" s="72" t="str">
        <f t="shared" si="58"/>
        <v/>
      </c>
      <c r="J157" s="47" t="str">
        <f t="shared" si="61"/>
        <v/>
      </c>
      <c r="K157" s="127" t="str">
        <f t="shared" si="62"/>
        <v/>
      </c>
    </row>
    <row r="158" spans="1:11" ht="20.100000000000001" customHeight="1" thickBot="1" x14ac:dyDescent="0.3">
      <c r="A158" s="142">
        <f t="shared" si="63"/>
        <v>551</v>
      </c>
      <c r="B158" s="146"/>
      <c r="C158" s="5"/>
      <c r="D158" s="74"/>
      <c r="E158" s="4"/>
      <c r="F158" s="155" t="str">
        <f t="shared" si="60"/>
        <v/>
      </c>
      <c r="G158" s="168"/>
      <c r="H158" s="4"/>
      <c r="I158" s="72" t="str">
        <f t="shared" si="58"/>
        <v/>
      </c>
      <c r="J158" s="47" t="str">
        <f t="shared" si="61"/>
        <v/>
      </c>
      <c r="K158" s="127" t="str">
        <f t="shared" si="62"/>
        <v/>
      </c>
    </row>
    <row r="159" spans="1:11" ht="20.100000000000001" customHeight="1" thickBot="1" x14ac:dyDescent="0.3">
      <c r="A159" s="143">
        <f t="shared" si="63"/>
        <v>751</v>
      </c>
      <c r="B159" s="146"/>
      <c r="C159" s="5"/>
      <c r="D159" s="74"/>
      <c r="E159" s="4"/>
      <c r="F159" s="155" t="str">
        <f t="shared" si="60"/>
        <v/>
      </c>
      <c r="G159" s="168"/>
      <c r="H159" s="4"/>
      <c r="I159" s="72" t="str">
        <f t="shared" si="58"/>
        <v/>
      </c>
      <c r="J159" s="47" t="str">
        <f t="shared" si="61"/>
        <v/>
      </c>
      <c r="K159" s="127" t="str">
        <f t="shared" si="62"/>
        <v/>
      </c>
    </row>
    <row r="160" spans="1:11" ht="20.100000000000001" customHeight="1" thickBot="1" x14ac:dyDescent="0.3">
      <c r="A160" s="143">
        <f t="shared" si="63"/>
        <v>951</v>
      </c>
      <c r="B160" s="146"/>
      <c r="C160" s="5"/>
      <c r="D160" s="74"/>
      <c r="E160" s="4"/>
      <c r="F160" s="155" t="str">
        <f t="shared" si="60"/>
        <v/>
      </c>
      <c r="G160" s="168"/>
      <c r="H160" s="4"/>
      <c r="I160" s="72" t="str">
        <f t="shared" si="58"/>
        <v/>
      </c>
      <c r="J160" s="47" t="str">
        <f t="shared" si="61"/>
        <v/>
      </c>
      <c r="K160" s="127" t="str">
        <f t="shared" si="62"/>
        <v/>
      </c>
    </row>
    <row r="161" spans="1:11" ht="20.100000000000001" customHeight="1" thickBot="1" x14ac:dyDescent="0.3">
      <c r="A161" s="142">
        <f t="shared" si="63"/>
        <v>552</v>
      </c>
      <c r="B161" s="146"/>
      <c r="C161" s="5"/>
      <c r="D161" s="74"/>
      <c r="E161" s="4"/>
      <c r="F161" s="155" t="str">
        <f t="shared" si="60"/>
        <v/>
      </c>
      <c r="G161" s="168"/>
      <c r="H161" s="4"/>
      <c r="I161" s="72" t="str">
        <f t="shared" si="58"/>
        <v/>
      </c>
      <c r="J161" s="47" t="str">
        <f t="shared" si="61"/>
        <v/>
      </c>
      <c r="K161" s="127" t="str">
        <f t="shared" si="62"/>
        <v/>
      </c>
    </row>
    <row r="162" spans="1:11" ht="20.100000000000001" customHeight="1" thickBot="1" x14ac:dyDescent="0.3">
      <c r="A162" s="143">
        <f t="shared" si="63"/>
        <v>752</v>
      </c>
      <c r="B162" s="146"/>
      <c r="C162" s="5"/>
      <c r="D162" s="74"/>
      <c r="E162" s="4"/>
      <c r="F162" s="155" t="str">
        <f t="shared" si="60"/>
        <v/>
      </c>
      <c r="G162" s="168"/>
      <c r="H162" s="4"/>
      <c r="I162" s="72" t="str">
        <f t="shared" si="58"/>
        <v/>
      </c>
      <c r="J162" s="47" t="str">
        <f t="shared" si="61"/>
        <v/>
      </c>
      <c r="K162" s="127" t="str">
        <f t="shared" si="62"/>
        <v/>
      </c>
    </row>
    <row r="163" spans="1:11" ht="20.100000000000001" customHeight="1" thickBot="1" x14ac:dyDescent="0.3">
      <c r="A163" s="143">
        <f t="shared" si="63"/>
        <v>952</v>
      </c>
      <c r="B163" s="146"/>
      <c r="C163" s="5"/>
      <c r="D163" s="74"/>
      <c r="E163" s="4"/>
      <c r="F163" s="155" t="str">
        <f t="shared" si="60"/>
        <v/>
      </c>
      <c r="G163" s="168"/>
      <c r="H163" s="4"/>
      <c r="I163" s="72" t="str">
        <f t="shared" si="58"/>
        <v/>
      </c>
      <c r="J163" s="47" t="str">
        <f t="shared" si="61"/>
        <v/>
      </c>
      <c r="K163" s="127" t="str">
        <f t="shared" si="62"/>
        <v/>
      </c>
    </row>
    <row r="164" spans="1:11" ht="20.100000000000001" customHeight="1" thickBot="1" x14ac:dyDescent="0.3">
      <c r="A164" s="142">
        <f t="shared" si="63"/>
        <v>553</v>
      </c>
      <c r="B164" s="146"/>
      <c r="C164" s="5"/>
      <c r="D164" s="74"/>
      <c r="E164" s="4"/>
      <c r="F164" s="155" t="str">
        <f t="shared" si="60"/>
        <v/>
      </c>
      <c r="G164" s="168"/>
      <c r="H164" s="4"/>
      <c r="I164" s="72" t="str">
        <f t="shared" si="58"/>
        <v/>
      </c>
      <c r="J164" s="47" t="str">
        <f t="shared" si="61"/>
        <v/>
      </c>
      <c r="K164" s="127" t="str">
        <f t="shared" si="62"/>
        <v/>
      </c>
    </row>
    <row r="165" spans="1:11" ht="20.100000000000001" customHeight="1" thickBot="1" x14ac:dyDescent="0.3">
      <c r="A165" s="143">
        <f t="shared" si="63"/>
        <v>753</v>
      </c>
      <c r="B165" s="146"/>
      <c r="C165" s="5"/>
      <c r="D165" s="74"/>
      <c r="E165" s="4"/>
      <c r="F165" s="155" t="str">
        <f t="shared" si="60"/>
        <v/>
      </c>
      <c r="G165" s="168"/>
      <c r="H165" s="4"/>
      <c r="I165" s="72" t="str">
        <f t="shared" si="58"/>
        <v/>
      </c>
      <c r="J165" s="47" t="str">
        <f t="shared" si="61"/>
        <v/>
      </c>
      <c r="K165" s="127" t="str">
        <f t="shared" si="62"/>
        <v/>
      </c>
    </row>
    <row r="166" spans="1:11" ht="20.100000000000001" customHeight="1" thickBot="1" x14ac:dyDescent="0.3">
      <c r="A166" s="143">
        <f t="shared" si="63"/>
        <v>953</v>
      </c>
      <c r="B166" s="146"/>
      <c r="C166" s="5"/>
      <c r="D166" s="74"/>
      <c r="E166" s="4"/>
      <c r="F166" s="155" t="str">
        <f t="shared" si="60"/>
        <v/>
      </c>
      <c r="G166" s="168"/>
      <c r="H166" s="4"/>
      <c r="I166" s="72" t="str">
        <f t="shared" si="58"/>
        <v/>
      </c>
      <c r="J166" s="47" t="str">
        <f t="shared" si="61"/>
        <v/>
      </c>
      <c r="K166" s="127" t="str">
        <f t="shared" si="62"/>
        <v/>
      </c>
    </row>
    <row r="167" spans="1:11" ht="20.100000000000001" customHeight="1" x14ac:dyDescent="0.25">
      <c r="A167" s="135"/>
      <c r="B167" s="138"/>
      <c r="C167" s="136"/>
      <c r="D167" s="137"/>
      <c r="E167" s="135"/>
      <c r="F167" s="156" t="str">
        <f t="shared" si="60"/>
        <v/>
      </c>
      <c r="G167" s="138"/>
      <c r="H167" s="135"/>
      <c r="I167" s="139" t="str">
        <f t="shared" si="58"/>
        <v/>
      </c>
      <c r="J167" s="140" t="str">
        <f t="shared" si="61"/>
        <v/>
      </c>
      <c r="K167" s="139" t="str">
        <f t="shared" si="62"/>
        <v/>
      </c>
    </row>
    <row r="168" spans="1:11" ht="20.100000000000001" customHeight="1" x14ac:dyDescent="0.25">
      <c r="D168" s="130"/>
      <c r="F168" s="132"/>
      <c r="G168" s="148"/>
      <c r="H168" s="148"/>
      <c r="I168" s="148"/>
      <c r="J168" s="148"/>
      <c r="K168" s="148"/>
    </row>
    <row r="169" spans="1:11" ht="20.100000000000001" customHeight="1" x14ac:dyDescent="0.25">
      <c r="D169" s="130"/>
      <c r="F169" s="132" t="str">
        <f t="shared" si="60"/>
        <v/>
      </c>
      <c r="I169" s="132" t="str">
        <f t="shared" si="58"/>
        <v/>
      </c>
      <c r="J169" s="133" t="str">
        <f t="shared" si="61"/>
        <v/>
      </c>
      <c r="K169" s="132" t="str">
        <f t="shared" si="62"/>
        <v/>
      </c>
    </row>
    <row r="170" spans="1:11" ht="20.100000000000001" customHeight="1" x14ac:dyDescent="0.25">
      <c r="D170" s="130"/>
      <c r="F170" s="132" t="str">
        <f t="shared" si="60"/>
        <v/>
      </c>
      <c r="I170" s="132" t="str">
        <f t="shared" si="58"/>
        <v/>
      </c>
      <c r="J170" s="133" t="str">
        <f t="shared" si="61"/>
        <v/>
      </c>
      <c r="K170" s="132" t="str">
        <f t="shared" si="62"/>
        <v/>
      </c>
    </row>
    <row r="171" spans="1:11" ht="20.100000000000001" customHeight="1" x14ac:dyDescent="0.25">
      <c r="D171" s="130"/>
      <c r="F171" s="132" t="str">
        <f t="shared" si="60"/>
        <v/>
      </c>
      <c r="I171" s="132" t="str">
        <f t="shared" si="58"/>
        <v/>
      </c>
      <c r="J171" s="133" t="str">
        <f t="shared" si="61"/>
        <v/>
      </c>
      <c r="K171" s="132" t="str">
        <f t="shared" si="62"/>
        <v/>
      </c>
    </row>
    <row r="172" spans="1:11" ht="20.100000000000001" customHeight="1" x14ac:dyDescent="0.25">
      <c r="D172" s="130"/>
      <c r="F172" s="132" t="str">
        <f t="shared" si="60"/>
        <v/>
      </c>
      <c r="I172" s="132" t="str">
        <f t="shared" si="58"/>
        <v/>
      </c>
      <c r="J172" s="133" t="str">
        <f t="shared" si="61"/>
        <v/>
      </c>
      <c r="K172" s="132" t="str">
        <f t="shared" si="62"/>
        <v/>
      </c>
    </row>
    <row r="173" spans="1:11" ht="20.100000000000001" customHeight="1" x14ac:dyDescent="0.25">
      <c r="D173" s="130"/>
      <c r="F173" s="132" t="str">
        <f t="shared" si="60"/>
        <v/>
      </c>
      <c r="I173" s="132" t="str">
        <f t="shared" si="58"/>
        <v/>
      </c>
      <c r="J173" s="133" t="str">
        <f t="shared" si="61"/>
        <v/>
      </c>
      <c r="K173" s="132" t="str">
        <f t="shared" si="62"/>
        <v/>
      </c>
    </row>
    <row r="174" spans="1:11" ht="20.100000000000001" customHeight="1" x14ac:dyDescent="0.25">
      <c r="D174" s="130"/>
      <c r="F174" s="132" t="str">
        <f t="shared" si="60"/>
        <v/>
      </c>
      <c r="I174" s="132" t="str">
        <f t="shared" si="58"/>
        <v/>
      </c>
      <c r="J174" s="133" t="str">
        <f t="shared" si="61"/>
        <v/>
      </c>
      <c r="K174" s="132" t="str">
        <f t="shared" si="62"/>
        <v/>
      </c>
    </row>
    <row r="175" spans="1:11" ht="20.100000000000001" customHeight="1" x14ac:dyDescent="0.25">
      <c r="D175" s="130"/>
      <c r="F175" s="132" t="str">
        <f t="shared" si="60"/>
        <v/>
      </c>
      <c r="I175" s="132" t="str">
        <f t="shared" si="58"/>
        <v/>
      </c>
      <c r="J175" s="133" t="str">
        <f t="shared" si="61"/>
        <v/>
      </c>
      <c r="K175" s="132" t="str">
        <f t="shared" si="62"/>
        <v/>
      </c>
    </row>
    <row r="176" spans="1:11" ht="20.100000000000001" customHeight="1" x14ac:dyDescent="0.25">
      <c r="D176" s="130"/>
      <c r="F176" s="132" t="str">
        <f t="shared" si="60"/>
        <v/>
      </c>
      <c r="I176" s="132" t="str">
        <f t="shared" si="58"/>
        <v/>
      </c>
      <c r="J176" s="133" t="str">
        <f t="shared" si="61"/>
        <v/>
      </c>
      <c r="K176" s="132" t="str">
        <f t="shared" si="62"/>
        <v/>
      </c>
    </row>
    <row r="177" spans="4:11" ht="20.100000000000001" customHeight="1" x14ac:dyDescent="0.25">
      <c r="D177" s="130"/>
      <c r="F177" s="132" t="str">
        <f t="shared" si="60"/>
        <v/>
      </c>
      <c r="I177" s="132" t="str">
        <f t="shared" si="58"/>
        <v/>
      </c>
      <c r="J177" s="133" t="str">
        <f t="shared" si="61"/>
        <v/>
      </c>
      <c r="K177" s="132" t="str">
        <f t="shared" si="62"/>
        <v/>
      </c>
    </row>
    <row r="178" spans="4:11" ht="20.100000000000001" customHeight="1" x14ac:dyDescent="0.25">
      <c r="D178" s="130"/>
      <c r="F178" s="132" t="str">
        <f t="shared" si="60"/>
        <v/>
      </c>
      <c r="I178" s="132" t="str">
        <f t="shared" ref="I178:I200" si="64">IF(G178="","",H178/G178)</f>
        <v/>
      </c>
      <c r="J178" s="133" t="str">
        <f t="shared" si="61"/>
        <v/>
      </c>
      <c r="K178" s="132" t="str">
        <f t="shared" si="62"/>
        <v/>
      </c>
    </row>
    <row r="179" spans="4:11" ht="20.100000000000001" customHeight="1" x14ac:dyDescent="0.25">
      <c r="D179" s="130"/>
      <c r="F179" s="132" t="str">
        <f t="shared" si="60"/>
        <v/>
      </c>
      <c r="I179" s="132" t="str">
        <f t="shared" si="64"/>
        <v/>
      </c>
      <c r="J179" s="133" t="str">
        <f t="shared" si="61"/>
        <v/>
      </c>
      <c r="K179" s="132" t="str">
        <f t="shared" si="62"/>
        <v/>
      </c>
    </row>
    <row r="180" spans="4:11" ht="20.100000000000001" customHeight="1" x14ac:dyDescent="0.25">
      <c r="D180" s="130"/>
      <c r="F180" s="132" t="str">
        <f t="shared" si="60"/>
        <v/>
      </c>
      <c r="I180" s="132" t="str">
        <f t="shared" si="64"/>
        <v/>
      </c>
      <c r="J180" s="133" t="str">
        <f t="shared" si="61"/>
        <v/>
      </c>
      <c r="K180" s="132" t="str">
        <f t="shared" si="62"/>
        <v/>
      </c>
    </row>
    <row r="181" spans="4:11" ht="20.100000000000001" customHeight="1" x14ac:dyDescent="0.25">
      <c r="D181" s="130"/>
      <c r="F181" s="132" t="str">
        <f t="shared" si="60"/>
        <v/>
      </c>
      <c r="I181" s="132" t="str">
        <f t="shared" si="64"/>
        <v/>
      </c>
      <c r="J181" s="133" t="str">
        <f t="shared" si="61"/>
        <v/>
      </c>
      <c r="K181" s="132" t="str">
        <f t="shared" si="62"/>
        <v/>
      </c>
    </row>
    <row r="182" spans="4:11" ht="20.100000000000001" customHeight="1" x14ac:dyDescent="0.25">
      <c r="D182" s="130"/>
      <c r="F182" s="132" t="str">
        <f t="shared" si="60"/>
        <v/>
      </c>
      <c r="I182" s="132" t="str">
        <f t="shared" si="64"/>
        <v/>
      </c>
      <c r="J182" s="133" t="str">
        <f t="shared" si="61"/>
        <v/>
      </c>
      <c r="K182" s="132" t="str">
        <f t="shared" si="62"/>
        <v/>
      </c>
    </row>
    <row r="183" spans="4:11" ht="20.100000000000001" customHeight="1" x14ac:dyDescent="0.25">
      <c r="D183" s="130"/>
      <c r="F183" s="132" t="str">
        <f t="shared" si="60"/>
        <v/>
      </c>
      <c r="I183" s="132" t="str">
        <f t="shared" si="64"/>
        <v/>
      </c>
      <c r="J183" s="133" t="str">
        <f t="shared" si="61"/>
        <v/>
      </c>
      <c r="K183" s="132" t="str">
        <f t="shared" si="62"/>
        <v/>
      </c>
    </row>
    <row r="184" spans="4:11" ht="20.100000000000001" customHeight="1" x14ac:dyDescent="0.25">
      <c r="D184" s="130"/>
      <c r="F184" s="132" t="str">
        <f t="shared" si="60"/>
        <v/>
      </c>
      <c r="I184" s="132" t="str">
        <f t="shared" si="64"/>
        <v/>
      </c>
      <c r="J184" s="133" t="str">
        <f t="shared" si="61"/>
        <v/>
      </c>
      <c r="K184" s="132" t="str">
        <f t="shared" si="62"/>
        <v/>
      </c>
    </row>
    <row r="185" spans="4:11" ht="20.100000000000001" customHeight="1" x14ac:dyDescent="0.25">
      <c r="D185" s="130"/>
      <c r="F185" s="132" t="str">
        <f t="shared" si="60"/>
        <v/>
      </c>
      <c r="I185" s="132" t="str">
        <f t="shared" si="64"/>
        <v/>
      </c>
      <c r="J185" s="133" t="str">
        <f t="shared" si="61"/>
        <v/>
      </c>
      <c r="K185" s="132" t="str">
        <f t="shared" si="62"/>
        <v/>
      </c>
    </row>
    <row r="186" spans="4:11" ht="20.100000000000001" customHeight="1" x14ac:dyDescent="0.25">
      <c r="D186" s="130"/>
      <c r="F186" s="132" t="str">
        <f t="shared" si="60"/>
        <v/>
      </c>
      <c r="I186" s="132" t="str">
        <f t="shared" si="64"/>
        <v/>
      </c>
      <c r="J186" s="133" t="str">
        <f t="shared" si="61"/>
        <v/>
      </c>
      <c r="K186" s="132" t="str">
        <f t="shared" si="62"/>
        <v/>
      </c>
    </row>
    <row r="187" spans="4:11" ht="20.100000000000001" customHeight="1" x14ac:dyDescent="0.25">
      <c r="D187" s="130"/>
      <c r="F187" s="132" t="str">
        <f t="shared" si="60"/>
        <v/>
      </c>
      <c r="I187" s="132" t="str">
        <f t="shared" si="64"/>
        <v/>
      </c>
      <c r="J187" s="133" t="str">
        <f t="shared" si="61"/>
        <v/>
      </c>
      <c r="K187" s="132" t="str">
        <f t="shared" si="62"/>
        <v/>
      </c>
    </row>
    <row r="188" spans="4:11" ht="20.100000000000001" customHeight="1" x14ac:dyDescent="0.25">
      <c r="D188" s="130"/>
      <c r="F188" s="132" t="str">
        <f t="shared" si="60"/>
        <v/>
      </c>
      <c r="I188" s="132" t="str">
        <f t="shared" si="64"/>
        <v/>
      </c>
      <c r="J188" s="133" t="str">
        <f t="shared" si="61"/>
        <v/>
      </c>
      <c r="K188" s="132" t="str">
        <f t="shared" si="62"/>
        <v/>
      </c>
    </row>
    <row r="189" spans="4:11" ht="20.100000000000001" customHeight="1" x14ac:dyDescent="0.25">
      <c r="D189" s="130"/>
      <c r="F189" s="132" t="str">
        <f t="shared" si="60"/>
        <v/>
      </c>
      <c r="I189" s="132" t="str">
        <f t="shared" si="64"/>
        <v/>
      </c>
      <c r="J189" s="133" t="str">
        <f t="shared" si="61"/>
        <v/>
      </c>
      <c r="K189" s="132" t="str">
        <f t="shared" si="62"/>
        <v/>
      </c>
    </row>
    <row r="190" spans="4:11" ht="20.100000000000001" customHeight="1" x14ac:dyDescent="0.25">
      <c r="D190" s="130"/>
      <c r="F190" s="132" t="str">
        <f t="shared" si="60"/>
        <v/>
      </c>
      <c r="I190" s="132" t="str">
        <f t="shared" si="64"/>
        <v/>
      </c>
      <c r="J190" s="133" t="str">
        <f t="shared" si="61"/>
        <v/>
      </c>
      <c r="K190" s="132" t="str">
        <f t="shared" si="62"/>
        <v/>
      </c>
    </row>
    <row r="191" spans="4:11" ht="20.100000000000001" customHeight="1" x14ac:dyDescent="0.25">
      <c r="D191" s="130"/>
      <c r="F191" s="132" t="str">
        <f t="shared" si="60"/>
        <v/>
      </c>
      <c r="I191" s="132" t="str">
        <f t="shared" si="64"/>
        <v/>
      </c>
      <c r="J191" s="133" t="str">
        <f t="shared" si="61"/>
        <v/>
      </c>
      <c r="K191" s="132" t="str">
        <f t="shared" si="62"/>
        <v/>
      </c>
    </row>
    <row r="192" spans="4:11" ht="20.100000000000001" customHeight="1" x14ac:dyDescent="0.25">
      <c r="D192" s="130"/>
      <c r="F192" s="132" t="str">
        <f t="shared" si="60"/>
        <v/>
      </c>
      <c r="I192" s="132" t="str">
        <f t="shared" si="64"/>
        <v/>
      </c>
      <c r="J192" s="133" t="str">
        <f t="shared" si="61"/>
        <v/>
      </c>
      <c r="K192" s="132" t="str">
        <f t="shared" si="62"/>
        <v/>
      </c>
    </row>
    <row r="193" spans="4:11" ht="20.100000000000001" customHeight="1" x14ac:dyDescent="0.25">
      <c r="D193" s="130"/>
      <c r="F193" s="132" t="str">
        <f t="shared" si="60"/>
        <v/>
      </c>
      <c r="I193" s="132" t="str">
        <f t="shared" si="64"/>
        <v/>
      </c>
      <c r="J193" s="133" t="str">
        <f t="shared" si="61"/>
        <v/>
      </c>
      <c r="K193" s="132" t="str">
        <f t="shared" si="62"/>
        <v/>
      </c>
    </row>
    <row r="194" spans="4:11" ht="20.100000000000001" customHeight="1" x14ac:dyDescent="0.25">
      <c r="D194" s="130"/>
      <c r="F194" s="132" t="str">
        <f t="shared" si="60"/>
        <v/>
      </c>
      <c r="I194" s="132" t="str">
        <f t="shared" si="64"/>
        <v/>
      </c>
      <c r="J194" s="133" t="str">
        <f t="shared" si="61"/>
        <v/>
      </c>
      <c r="K194" s="132" t="str">
        <f t="shared" si="62"/>
        <v/>
      </c>
    </row>
    <row r="195" spans="4:11" ht="20.100000000000001" customHeight="1" x14ac:dyDescent="0.25">
      <c r="D195" s="130"/>
      <c r="F195" s="132" t="str">
        <f t="shared" si="60"/>
        <v/>
      </c>
      <c r="I195" s="132" t="str">
        <f t="shared" si="64"/>
        <v/>
      </c>
      <c r="J195" s="133" t="str">
        <f t="shared" si="61"/>
        <v/>
      </c>
      <c r="K195" s="132" t="str">
        <f t="shared" si="62"/>
        <v/>
      </c>
    </row>
    <row r="196" spans="4:11" ht="20.100000000000001" customHeight="1" x14ac:dyDescent="0.25">
      <c r="D196" s="130"/>
      <c r="F196" s="132" t="str">
        <f t="shared" si="60"/>
        <v/>
      </c>
      <c r="I196" s="132" t="str">
        <f t="shared" si="64"/>
        <v/>
      </c>
      <c r="J196" s="133" t="str">
        <f t="shared" si="61"/>
        <v/>
      </c>
      <c r="K196" s="132" t="str">
        <f t="shared" si="62"/>
        <v/>
      </c>
    </row>
    <row r="197" spans="4:11" ht="20.100000000000001" customHeight="1" x14ac:dyDescent="0.25">
      <c r="D197" s="130"/>
      <c r="F197" s="132" t="str">
        <f t="shared" si="60"/>
        <v/>
      </c>
      <c r="I197" s="132" t="str">
        <f t="shared" si="64"/>
        <v/>
      </c>
      <c r="J197" s="133" t="str">
        <f t="shared" si="61"/>
        <v/>
      </c>
      <c r="K197" s="132" t="str">
        <f t="shared" si="62"/>
        <v/>
      </c>
    </row>
    <row r="198" spans="4:11" ht="20.100000000000001" customHeight="1" x14ac:dyDescent="0.25">
      <c r="D198" s="130"/>
      <c r="F198" s="132" t="str">
        <f t="shared" si="60"/>
        <v/>
      </c>
      <c r="I198" s="132" t="str">
        <f t="shared" si="64"/>
        <v/>
      </c>
      <c r="J198" s="133" t="str">
        <f t="shared" si="61"/>
        <v/>
      </c>
      <c r="K198" s="132" t="str">
        <f t="shared" si="62"/>
        <v/>
      </c>
    </row>
    <row r="199" spans="4:11" ht="20.100000000000001" customHeight="1" x14ac:dyDescent="0.25">
      <c r="D199" s="130"/>
      <c r="F199" s="132" t="str">
        <f t="shared" si="60"/>
        <v/>
      </c>
      <c r="I199" s="132" t="str">
        <f t="shared" si="64"/>
        <v/>
      </c>
      <c r="J199" s="133" t="str">
        <f t="shared" si="61"/>
        <v/>
      </c>
      <c r="K199" s="132" t="str">
        <f t="shared" si="62"/>
        <v/>
      </c>
    </row>
    <row r="200" spans="4:11" ht="20.100000000000001" customHeight="1" x14ac:dyDescent="0.25">
      <c r="D200" s="130"/>
      <c r="F200" s="132" t="str">
        <f t="shared" si="60"/>
        <v/>
      </c>
      <c r="I200" s="132" t="str">
        <f t="shared" si="64"/>
        <v/>
      </c>
      <c r="J200" s="133" t="str">
        <f t="shared" si="61"/>
        <v/>
      </c>
      <c r="K200" s="132" t="str">
        <f t="shared" si="62"/>
        <v/>
      </c>
    </row>
  </sheetData>
  <mergeCells count="13">
    <mergeCell ref="N1:P1"/>
    <mergeCell ref="A3:A6"/>
    <mergeCell ref="D1:F1"/>
    <mergeCell ref="D2:F2"/>
    <mergeCell ref="A1:B1"/>
    <mergeCell ref="A2:B2"/>
    <mergeCell ref="H1:I1"/>
    <mergeCell ref="H2:I2"/>
    <mergeCell ref="J1:K1"/>
    <mergeCell ref="H3:I3"/>
    <mergeCell ref="J2:K2"/>
    <mergeCell ref="J3:K3"/>
    <mergeCell ref="O5:Q5"/>
  </mergeCells>
  <dataValidations count="1">
    <dataValidation type="list" allowBlank="1" showInputMessage="1" showErrorMessage="1" sqref="N2" xr:uid="{C8563DD1-1B31-4994-AD5E-7158D5C42B17}">
      <formula1>"1,2"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6"/>
  <sheetViews>
    <sheetView workbookViewId="0">
      <selection activeCell="D5" sqref="D5"/>
    </sheetView>
  </sheetViews>
  <sheetFormatPr defaultRowHeight="21" x14ac:dyDescent="0.35"/>
  <cols>
    <col min="1" max="1" width="9.140625" style="7"/>
    <col min="2" max="2" width="38.5703125" bestFit="1" customWidth="1"/>
    <col min="3" max="3" width="15.28515625" style="2" customWidth="1"/>
    <col min="4" max="4" width="14.28515625" style="1" bestFit="1" customWidth="1"/>
    <col min="5" max="5" width="14.42578125" style="3" bestFit="1" customWidth="1"/>
    <col min="6" max="6" width="19.85546875" style="6" bestFit="1" customWidth="1"/>
    <col min="10" max="10" width="33.140625" customWidth="1"/>
    <col min="11" max="11" width="31.42578125" customWidth="1"/>
    <col min="12" max="12" width="13" customWidth="1"/>
    <col min="13" max="13" width="10.7109375" bestFit="1" customWidth="1"/>
    <col min="14" max="14" width="10.28515625" customWidth="1"/>
  </cols>
  <sheetData>
    <row r="1" spans="1:6" ht="20.25" thickTop="1" thickBot="1" x14ac:dyDescent="0.35">
      <c r="A1" s="183" t="s">
        <v>120</v>
      </c>
      <c r="B1" s="183"/>
      <c r="C1" s="184" t="s">
        <v>121</v>
      </c>
      <c r="D1" s="184"/>
      <c r="E1" s="184"/>
      <c r="F1" s="184"/>
    </row>
    <row r="2" spans="1:6" ht="20.25" thickTop="1" thickBot="1" x14ac:dyDescent="0.35">
      <c r="A2" s="183" t="s">
        <v>122</v>
      </c>
      <c r="B2" s="183"/>
      <c r="C2" s="188">
        <v>44281</v>
      </c>
      <c r="D2" s="189"/>
      <c r="E2" s="37" t="s">
        <v>134</v>
      </c>
      <c r="F2" s="38">
        <f>COUNT(Tabela2[Cod])</f>
        <v>155</v>
      </c>
    </row>
    <row r="3" spans="1:6" ht="20.25" thickTop="1" thickBot="1" x14ac:dyDescent="0.3">
      <c r="A3" s="185"/>
      <c r="B3" s="186"/>
      <c r="C3" s="186"/>
      <c r="D3" s="186"/>
      <c r="E3" s="186"/>
      <c r="F3" s="187"/>
    </row>
    <row r="4" spans="1:6" ht="20.25" thickTop="1" thickBot="1" x14ac:dyDescent="0.35">
      <c r="A4" s="9" t="s">
        <v>0</v>
      </c>
      <c r="B4" s="10" t="s">
        <v>10</v>
      </c>
      <c r="C4" s="10" t="s">
        <v>3</v>
      </c>
      <c r="D4" s="10" t="s">
        <v>305</v>
      </c>
      <c r="E4" s="11" t="s">
        <v>1</v>
      </c>
      <c r="F4" s="12" t="s">
        <v>2</v>
      </c>
    </row>
    <row r="5" spans="1:6" ht="20.25" thickTop="1" thickBot="1" x14ac:dyDescent="0.35">
      <c r="A5" s="13">
        <v>102</v>
      </c>
      <c r="B5" s="14" t="s">
        <v>14</v>
      </c>
      <c r="C5" s="15" t="s">
        <v>306</v>
      </c>
      <c r="D5" s="16">
        <v>12</v>
      </c>
      <c r="E5" s="17">
        <v>20</v>
      </c>
      <c r="F5" s="18">
        <f t="shared" ref="F5:F10" si="0">IFERROR(E5/D5,"")</f>
        <v>1.6666666666666667</v>
      </c>
    </row>
    <row r="6" spans="1:6" ht="20.25" thickTop="1" thickBot="1" x14ac:dyDescent="0.35">
      <c r="A6" s="19">
        <f t="shared" ref="A6:A37" si="1">A5+1</f>
        <v>103</v>
      </c>
      <c r="B6" s="20" t="s">
        <v>307</v>
      </c>
      <c r="C6" s="105" t="s">
        <v>36</v>
      </c>
      <c r="D6" s="16">
        <v>400</v>
      </c>
      <c r="E6" s="17">
        <v>18</v>
      </c>
      <c r="F6" s="18">
        <f t="shared" si="0"/>
        <v>4.4999999999999998E-2</v>
      </c>
    </row>
    <row r="7" spans="1:6" ht="20.25" thickTop="1" thickBot="1" x14ac:dyDescent="0.35">
      <c r="A7" s="19">
        <f t="shared" si="1"/>
        <v>104</v>
      </c>
      <c r="B7" s="14" t="s">
        <v>308</v>
      </c>
      <c r="C7" s="15" t="s">
        <v>36</v>
      </c>
      <c r="D7" s="16">
        <v>1000</v>
      </c>
      <c r="E7" s="17">
        <v>12</v>
      </c>
      <c r="F7" s="18">
        <f t="shared" si="0"/>
        <v>1.2E-2</v>
      </c>
    </row>
    <row r="8" spans="1:6" ht="20.25" thickTop="1" thickBot="1" x14ac:dyDescent="0.35">
      <c r="A8" s="19">
        <f t="shared" si="1"/>
        <v>105</v>
      </c>
      <c r="B8" s="20" t="s">
        <v>309</v>
      </c>
      <c r="C8" s="21" t="s">
        <v>310</v>
      </c>
      <c r="D8" s="22">
        <v>12</v>
      </c>
      <c r="E8" s="23">
        <v>6</v>
      </c>
      <c r="F8" s="24">
        <f t="shared" si="0"/>
        <v>0.5</v>
      </c>
    </row>
    <row r="9" spans="1:6" ht="20.25" thickTop="1" thickBot="1" x14ac:dyDescent="0.35">
      <c r="A9" s="19">
        <f t="shared" si="1"/>
        <v>106</v>
      </c>
      <c r="B9" s="14" t="s">
        <v>311</v>
      </c>
      <c r="C9" s="15" t="s">
        <v>4</v>
      </c>
      <c r="D9" s="16">
        <v>100</v>
      </c>
      <c r="E9" s="17">
        <v>2</v>
      </c>
      <c r="F9" s="18">
        <f t="shared" si="0"/>
        <v>0.02</v>
      </c>
    </row>
    <row r="10" spans="1:6" ht="20.25" thickTop="1" thickBot="1" x14ac:dyDescent="0.35">
      <c r="A10" s="19">
        <f t="shared" si="1"/>
        <v>107</v>
      </c>
      <c r="B10" s="20" t="s">
        <v>312</v>
      </c>
      <c r="C10" s="21" t="s">
        <v>36</v>
      </c>
      <c r="D10" s="21">
        <v>500</v>
      </c>
      <c r="E10" s="23">
        <v>23.45</v>
      </c>
      <c r="F10" s="24">
        <f t="shared" si="0"/>
        <v>4.6899999999999997E-2</v>
      </c>
    </row>
    <row r="11" spans="1:6" ht="20.25" thickTop="1" thickBot="1" x14ac:dyDescent="0.35">
      <c r="A11" s="19">
        <f t="shared" si="1"/>
        <v>108</v>
      </c>
      <c r="B11" s="14" t="s">
        <v>156</v>
      </c>
      <c r="C11" s="15" t="s">
        <v>67</v>
      </c>
      <c r="D11" s="15">
        <v>1000</v>
      </c>
      <c r="E11" s="17">
        <v>55</v>
      </c>
      <c r="F11" s="18">
        <v>5.5E-2</v>
      </c>
    </row>
    <row r="12" spans="1:6" ht="20.25" thickTop="1" thickBot="1" x14ac:dyDescent="0.35">
      <c r="A12" s="19">
        <f t="shared" si="1"/>
        <v>109</v>
      </c>
      <c r="B12" s="14" t="s">
        <v>164</v>
      </c>
      <c r="C12" s="15" t="s">
        <v>67</v>
      </c>
      <c r="D12" s="16">
        <v>1000</v>
      </c>
      <c r="E12" s="25">
        <v>35</v>
      </c>
      <c r="F12" s="18">
        <f>IFERROR(E12/D12,"")</f>
        <v>3.5000000000000003E-2</v>
      </c>
    </row>
    <row r="13" spans="1:6" ht="20.25" thickTop="1" thickBot="1" x14ac:dyDescent="0.35">
      <c r="A13" s="19">
        <f t="shared" si="1"/>
        <v>110</v>
      </c>
      <c r="B13" s="20" t="s">
        <v>165</v>
      </c>
      <c r="C13" s="21" t="s">
        <v>67</v>
      </c>
      <c r="D13" s="22">
        <v>1000</v>
      </c>
      <c r="E13" s="23">
        <v>35</v>
      </c>
      <c r="F13" s="24">
        <f>IFERROR(E13/D13,"")</f>
        <v>3.5000000000000003E-2</v>
      </c>
    </row>
    <row r="14" spans="1:6" ht="20.25" thickTop="1" thickBot="1" x14ac:dyDescent="0.35">
      <c r="A14" s="19">
        <f t="shared" si="1"/>
        <v>111</v>
      </c>
      <c r="B14" s="14" t="s">
        <v>168</v>
      </c>
      <c r="C14" s="15" t="s">
        <v>36</v>
      </c>
      <c r="D14" s="16">
        <v>500</v>
      </c>
      <c r="E14" s="17">
        <v>23</v>
      </c>
      <c r="F14" s="18">
        <f>IFERROR(E14/D14,"")</f>
        <v>4.5999999999999999E-2</v>
      </c>
    </row>
    <row r="15" spans="1:6" ht="20.25" thickTop="1" thickBot="1" x14ac:dyDescent="0.35">
      <c r="A15" s="19">
        <f t="shared" si="1"/>
        <v>112</v>
      </c>
      <c r="B15" s="20" t="s">
        <v>263</v>
      </c>
      <c r="C15" s="21" t="s">
        <v>41</v>
      </c>
      <c r="D15" s="21">
        <v>1000</v>
      </c>
      <c r="E15" s="23">
        <v>12</v>
      </c>
      <c r="F15" s="24">
        <f>IFERROR(E15/D15,"")</f>
        <v>1.2E-2</v>
      </c>
    </row>
    <row r="16" spans="1:6" ht="20.25" thickTop="1" thickBot="1" x14ac:dyDescent="0.35">
      <c r="A16" s="19">
        <f t="shared" si="1"/>
        <v>113</v>
      </c>
      <c r="B16" s="14" t="s">
        <v>264</v>
      </c>
      <c r="C16" s="15" t="s">
        <v>41</v>
      </c>
      <c r="D16" s="15">
        <v>1000</v>
      </c>
      <c r="E16" s="17">
        <v>10</v>
      </c>
      <c r="F16" s="18">
        <f>IFERROR(E16/D16,"")</f>
        <v>0.01</v>
      </c>
    </row>
    <row r="17" spans="1:15" ht="20.25" thickTop="1" thickBot="1" x14ac:dyDescent="0.35">
      <c r="A17" s="19">
        <f t="shared" si="1"/>
        <v>114</v>
      </c>
      <c r="B17" s="14" t="s">
        <v>265</v>
      </c>
      <c r="C17" s="15" t="s">
        <v>41</v>
      </c>
      <c r="D17" s="15">
        <v>1000</v>
      </c>
      <c r="E17" s="17">
        <v>10</v>
      </c>
      <c r="F17" s="18">
        <v>0.01</v>
      </c>
      <c r="J17" s="91">
        <f t="shared" ref="J17" si="2">J16+1</f>
        <v>1</v>
      </c>
      <c r="K17" s="97" t="s">
        <v>65</v>
      </c>
      <c r="L17" s="98" t="s">
        <v>54</v>
      </c>
      <c r="M17" s="101">
        <v>1</v>
      </c>
      <c r="N17" s="99">
        <v>6.19</v>
      </c>
      <c r="O17" s="100">
        <f>IFERROR(N17/M17,"")</f>
        <v>6.19</v>
      </c>
    </row>
    <row r="18" spans="1:15" ht="20.25" thickTop="1" thickBot="1" x14ac:dyDescent="0.35">
      <c r="A18" s="19">
        <f t="shared" si="1"/>
        <v>115</v>
      </c>
      <c r="B18" s="14" t="s">
        <v>268</v>
      </c>
      <c r="C18" s="15" t="s">
        <v>67</v>
      </c>
      <c r="D18" s="15">
        <v>1000</v>
      </c>
      <c r="E18" s="17">
        <v>65</v>
      </c>
      <c r="F18" s="18">
        <v>6.5000000000000002E-2</v>
      </c>
      <c r="J18" s="92" t="s">
        <v>64</v>
      </c>
      <c r="K18" s="93" t="s">
        <v>31</v>
      </c>
      <c r="L18" s="94">
        <v>30</v>
      </c>
      <c r="M18" s="95">
        <v>5.8</v>
      </c>
      <c r="N18" s="96">
        <f>IFERROR(M18/L18,"")</f>
        <v>0.19333333333333333</v>
      </c>
    </row>
    <row r="19" spans="1:15" ht="20.25" thickTop="1" thickBot="1" x14ac:dyDescent="0.35">
      <c r="A19" s="19">
        <f t="shared" si="1"/>
        <v>116</v>
      </c>
      <c r="B19" s="20" t="s">
        <v>269</v>
      </c>
      <c r="C19" s="21" t="s">
        <v>67</v>
      </c>
      <c r="D19" s="22">
        <v>500</v>
      </c>
      <c r="E19" s="23">
        <v>27.5</v>
      </c>
      <c r="F19" s="24">
        <v>2.7E-2</v>
      </c>
      <c r="J19" s="92" t="s">
        <v>93</v>
      </c>
      <c r="K19" s="93" t="s">
        <v>31</v>
      </c>
      <c r="L19" s="93">
        <v>1</v>
      </c>
      <c r="M19" s="95">
        <v>5.19</v>
      </c>
      <c r="N19" s="96">
        <v>5.19</v>
      </c>
    </row>
    <row r="20" spans="1:15" ht="20.25" thickTop="1" thickBot="1" x14ac:dyDescent="0.35">
      <c r="A20" s="19">
        <f t="shared" si="1"/>
        <v>117</v>
      </c>
      <c r="B20" s="14" t="s">
        <v>270</v>
      </c>
      <c r="C20" s="15" t="s">
        <v>54</v>
      </c>
      <c r="D20" s="16">
        <v>1</v>
      </c>
      <c r="E20" s="17">
        <v>1</v>
      </c>
      <c r="F20" s="18">
        <v>1</v>
      </c>
      <c r="J20" s="92" t="s">
        <v>93</v>
      </c>
      <c r="K20" s="93" t="s">
        <v>31</v>
      </c>
      <c r="L20" s="93">
        <v>2</v>
      </c>
      <c r="M20" s="95">
        <v>5.19</v>
      </c>
      <c r="N20" s="96"/>
    </row>
    <row r="21" spans="1:15" ht="20.25" thickTop="1" thickBot="1" x14ac:dyDescent="0.35">
      <c r="A21" s="19">
        <f t="shared" si="1"/>
        <v>118</v>
      </c>
      <c r="B21" s="20" t="s">
        <v>271</v>
      </c>
      <c r="C21" s="21" t="s">
        <v>67</v>
      </c>
      <c r="D21" s="22">
        <v>1000</v>
      </c>
      <c r="E21" s="23">
        <v>49.9</v>
      </c>
      <c r="F21" s="24">
        <v>4.9000000000000002E-2</v>
      </c>
      <c r="J21" s="92" t="s">
        <v>68</v>
      </c>
      <c r="K21" s="93" t="s">
        <v>31</v>
      </c>
      <c r="L21" s="93">
        <v>3</v>
      </c>
      <c r="M21" s="95">
        <v>4.79</v>
      </c>
      <c r="N21" s="96">
        <f>IFERROR(M21/L21,"")</f>
        <v>1.5966666666666667</v>
      </c>
    </row>
    <row r="22" spans="1:15" ht="20.25" thickTop="1" thickBot="1" x14ac:dyDescent="0.35">
      <c r="A22" s="19">
        <f t="shared" si="1"/>
        <v>119</v>
      </c>
      <c r="B22" s="14" t="s">
        <v>274</v>
      </c>
      <c r="C22" s="15" t="s">
        <v>31</v>
      </c>
      <c r="D22" s="15">
        <v>3</v>
      </c>
      <c r="E22" s="17">
        <v>5</v>
      </c>
      <c r="F22" s="18">
        <v>1.66</v>
      </c>
      <c r="J22" s="97" t="s">
        <v>69</v>
      </c>
      <c r="K22" s="98" t="s">
        <v>31</v>
      </c>
      <c r="L22" s="98">
        <v>1</v>
      </c>
      <c r="M22" s="99">
        <v>4.05</v>
      </c>
      <c r="N22" s="100">
        <f>IFERROR(M22/L22,"")</f>
        <v>4.05</v>
      </c>
    </row>
    <row r="23" spans="1:15" ht="20.25" thickTop="1" thickBot="1" x14ac:dyDescent="0.35">
      <c r="A23" s="19">
        <f t="shared" si="1"/>
        <v>120</v>
      </c>
      <c r="B23" s="14" t="s">
        <v>275</v>
      </c>
      <c r="C23" s="15" t="s">
        <v>31</v>
      </c>
      <c r="D23" s="15">
        <v>5</v>
      </c>
      <c r="E23" s="17">
        <v>2.65</v>
      </c>
      <c r="F23" s="18">
        <v>0.53</v>
      </c>
      <c r="J23" s="92" t="s">
        <v>94</v>
      </c>
      <c r="K23" s="93" t="s">
        <v>31</v>
      </c>
      <c r="L23" s="93">
        <v>1</v>
      </c>
      <c r="M23" s="95">
        <v>5.19</v>
      </c>
      <c r="N23" s="96">
        <v>5.19</v>
      </c>
    </row>
    <row r="24" spans="1:15" ht="20.25" thickTop="1" thickBot="1" x14ac:dyDescent="0.35">
      <c r="A24" s="19">
        <f t="shared" si="1"/>
        <v>121</v>
      </c>
      <c r="B24" s="14" t="s">
        <v>276</v>
      </c>
      <c r="C24" s="15" t="s">
        <v>31</v>
      </c>
      <c r="D24" s="15">
        <v>25</v>
      </c>
      <c r="E24" s="17">
        <v>23.5</v>
      </c>
      <c r="F24" s="18">
        <v>0.94</v>
      </c>
      <c r="J24" s="92" t="s">
        <v>97</v>
      </c>
      <c r="K24" s="93" t="s">
        <v>31</v>
      </c>
      <c r="L24" s="93">
        <v>2</v>
      </c>
      <c r="M24" s="95">
        <v>6.49</v>
      </c>
      <c r="N24" s="96">
        <v>12.98</v>
      </c>
    </row>
    <row r="25" spans="1:15" ht="20.25" thickTop="1" thickBot="1" x14ac:dyDescent="0.35">
      <c r="A25" s="19">
        <f t="shared" si="1"/>
        <v>122</v>
      </c>
      <c r="B25" s="20" t="s">
        <v>277</v>
      </c>
      <c r="C25" s="21" t="s">
        <v>67</v>
      </c>
      <c r="D25" s="21">
        <v>1000</v>
      </c>
      <c r="E25" s="23">
        <v>33</v>
      </c>
      <c r="F25" s="24">
        <v>3.3000000000000002E-2</v>
      </c>
      <c r="J25" s="97" t="s">
        <v>91</v>
      </c>
      <c r="K25" s="98" t="s">
        <v>31</v>
      </c>
      <c r="L25" s="98">
        <v>1</v>
      </c>
      <c r="M25" s="99">
        <v>22</v>
      </c>
      <c r="N25" s="100">
        <f t="shared" ref="N25:N29" si="3">IFERROR(M25/L25,"")</f>
        <v>22</v>
      </c>
    </row>
    <row r="26" spans="1:15" ht="20.25" thickTop="1" thickBot="1" x14ac:dyDescent="0.35">
      <c r="A26" s="19">
        <f t="shared" si="1"/>
        <v>123</v>
      </c>
      <c r="B26" s="14" t="s">
        <v>281</v>
      </c>
      <c r="C26" s="15" t="s">
        <v>54</v>
      </c>
      <c r="D26" s="15">
        <v>4</v>
      </c>
      <c r="E26" s="17">
        <v>2</v>
      </c>
      <c r="F26" s="18">
        <v>0.5</v>
      </c>
      <c r="J26" s="97" t="s">
        <v>72</v>
      </c>
      <c r="K26" s="98" t="s">
        <v>31</v>
      </c>
      <c r="L26" s="98">
        <v>1</v>
      </c>
      <c r="M26" s="99">
        <v>16.899999999999999</v>
      </c>
      <c r="N26" s="100">
        <f t="shared" si="3"/>
        <v>16.899999999999999</v>
      </c>
    </row>
    <row r="27" spans="1:15" ht="20.25" thickTop="1" thickBot="1" x14ac:dyDescent="0.35">
      <c r="A27" s="19">
        <f t="shared" si="1"/>
        <v>124</v>
      </c>
      <c r="B27" s="14" t="s">
        <v>151</v>
      </c>
      <c r="C27" s="15" t="s">
        <v>67</v>
      </c>
      <c r="D27" s="16">
        <v>1000</v>
      </c>
      <c r="E27" s="17">
        <v>31.9</v>
      </c>
      <c r="F27" s="18">
        <f>IFERROR(E27/D27,"")</f>
        <v>3.1899999999999998E-2</v>
      </c>
      <c r="J27" s="92" t="s">
        <v>72</v>
      </c>
      <c r="K27" s="93" t="s">
        <v>31</v>
      </c>
      <c r="L27" s="93">
        <v>1</v>
      </c>
      <c r="M27" s="95">
        <v>22.9</v>
      </c>
      <c r="N27" s="96">
        <f t="shared" si="3"/>
        <v>22.9</v>
      </c>
    </row>
    <row r="28" spans="1:15" ht="20.25" thickTop="1" thickBot="1" x14ac:dyDescent="0.35">
      <c r="A28" s="19">
        <f t="shared" si="1"/>
        <v>125</v>
      </c>
      <c r="B28" s="14"/>
      <c r="C28" s="15"/>
      <c r="D28" s="15"/>
      <c r="E28" s="17"/>
      <c r="F28" s="18"/>
      <c r="J28" s="97" t="s">
        <v>79</v>
      </c>
      <c r="K28" s="98" t="s">
        <v>31</v>
      </c>
      <c r="L28" s="98">
        <v>1</v>
      </c>
      <c r="M28" s="99">
        <v>6.67</v>
      </c>
      <c r="N28" s="100">
        <f t="shared" si="3"/>
        <v>6.67</v>
      </c>
    </row>
    <row r="29" spans="1:15" ht="20.25" thickTop="1" thickBot="1" x14ac:dyDescent="0.35">
      <c r="A29" s="19">
        <f t="shared" si="1"/>
        <v>126</v>
      </c>
      <c r="B29" s="20" t="s">
        <v>273</v>
      </c>
      <c r="C29" s="21" t="s">
        <v>67</v>
      </c>
      <c r="D29" s="21">
        <v>1000</v>
      </c>
      <c r="E29" s="23">
        <v>159.9</v>
      </c>
      <c r="F29" s="24">
        <v>0.159</v>
      </c>
      <c r="J29" s="92" t="s">
        <v>83</v>
      </c>
      <c r="K29" s="93" t="s">
        <v>31</v>
      </c>
      <c r="L29" s="93">
        <v>4</v>
      </c>
      <c r="M29" s="95">
        <v>4.3899999999999997</v>
      </c>
      <c r="N29" s="96">
        <f t="shared" si="3"/>
        <v>1.0974999999999999</v>
      </c>
    </row>
    <row r="30" spans="1:15" ht="20.25" thickTop="1" thickBot="1" x14ac:dyDescent="0.35">
      <c r="A30" s="19">
        <f t="shared" si="1"/>
        <v>127</v>
      </c>
      <c r="B30" s="14" t="s">
        <v>66</v>
      </c>
      <c r="C30" s="15" t="s">
        <v>67</v>
      </c>
      <c r="D30" s="16">
        <v>1000</v>
      </c>
      <c r="E30" s="17">
        <v>102</v>
      </c>
      <c r="F30" s="18">
        <f t="shared" ref="F30:F35" si="4">IFERROR(E30/D30,"")</f>
        <v>0.10199999999999999</v>
      </c>
      <c r="J30" s="92" t="s">
        <v>73</v>
      </c>
      <c r="K30" s="93" t="s">
        <v>31</v>
      </c>
      <c r="L30" s="93">
        <v>1</v>
      </c>
      <c r="M30" s="95">
        <v>5.7</v>
      </c>
      <c r="N30" s="96">
        <f>IFERROR(M30/L30,"")</f>
        <v>5.7</v>
      </c>
    </row>
    <row r="31" spans="1:15" ht="20.25" thickTop="1" thickBot="1" x14ac:dyDescent="0.35">
      <c r="A31" s="19">
        <f t="shared" si="1"/>
        <v>128</v>
      </c>
      <c r="B31" s="20" t="s">
        <v>46</v>
      </c>
      <c r="C31" s="21" t="s">
        <v>41</v>
      </c>
      <c r="D31" s="22">
        <v>1000</v>
      </c>
      <c r="E31" s="23">
        <v>40</v>
      </c>
      <c r="F31" s="24">
        <f t="shared" si="4"/>
        <v>0.04</v>
      </c>
      <c r="J31" s="92" t="s">
        <v>103</v>
      </c>
      <c r="K31" s="93" t="s">
        <v>31</v>
      </c>
      <c r="L31" s="93">
        <v>1</v>
      </c>
      <c r="M31" s="95">
        <v>6.89</v>
      </c>
      <c r="N31" s="96">
        <v>6.89</v>
      </c>
    </row>
    <row r="32" spans="1:15" ht="20.25" thickTop="1" thickBot="1" x14ac:dyDescent="0.35">
      <c r="A32" s="19">
        <f t="shared" si="1"/>
        <v>129</v>
      </c>
      <c r="B32" s="14" t="s">
        <v>45</v>
      </c>
      <c r="C32" s="15" t="s">
        <v>41</v>
      </c>
      <c r="D32" s="16">
        <v>100</v>
      </c>
      <c r="E32" s="17">
        <v>3.99</v>
      </c>
      <c r="F32" s="18">
        <f t="shared" si="4"/>
        <v>3.9900000000000005E-2</v>
      </c>
      <c r="J32" s="97" t="s">
        <v>75</v>
      </c>
      <c r="K32" s="98" t="s">
        <v>31</v>
      </c>
      <c r="L32" s="98">
        <v>1</v>
      </c>
      <c r="M32" s="99">
        <v>1.05</v>
      </c>
      <c r="N32" s="100">
        <f>IFERROR(M32/L32,"")</f>
        <v>1.05</v>
      </c>
    </row>
    <row r="33" spans="1:14" ht="20.25" thickTop="1" thickBot="1" x14ac:dyDescent="0.35">
      <c r="A33" s="19">
        <f t="shared" si="1"/>
        <v>130</v>
      </c>
      <c r="B33" s="20"/>
      <c r="C33" s="21"/>
      <c r="D33" s="21"/>
      <c r="E33" s="23"/>
      <c r="F33" s="24"/>
      <c r="J33" s="92" t="s">
        <v>99</v>
      </c>
      <c r="K33" s="93" t="s">
        <v>31</v>
      </c>
      <c r="L33" s="93">
        <v>1</v>
      </c>
      <c r="M33" s="95">
        <v>5.49</v>
      </c>
      <c r="N33" s="96">
        <v>5.49</v>
      </c>
    </row>
    <row r="34" spans="1:14" ht="20.25" thickTop="1" thickBot="1" x14ac:dyDescent="0.35">
      <c r="A34" s="19">
        <f t="shared" si="1"/>
        <v>131</v>
      </c>
      <c r="B34" s="14"/>
      <c r="C34" s="15"/>
      <c r="D34" s="15"/>
      <c r="E34" s="17"/>
      <c r="F34" s="18"/>
      <c r="J34" s="97" t="s">
        <v>74</v>
      </c>
      <c r="K34" s="98" t="s">
        <v>31</v>
      </c>
      <c r="L34" s="98">
        <v>1</v>
      </c>
      <c r="M34" s="99">
        <v>9.9</v>
      </c>
      <c r="N34" s="100">
        <f>IFERROR(M34/L34,"")</f>
        <v>9.9</v>
      </c>
    </row>
    <row r="35" spans="1:14" ht="20.25" thickTop="1" thickBot="1" x14ac:dyDescent="0.35">
      <c r="A35" s="19">
        <f t="shared" si="1"/>
        <v>132</v>
      </c>
      <c r="B35" s="14" t="s">
        <v>114</v>
      </c>
      <c r="C35" s="15" t="s">
        <v>31</v>
      </c>
      <c r="D35" s="15">
        <v>50</v>
      </c>
      <c r="E35" s="17">
        <v>8.49</v>
      </c>
      <c r="F35" s="18">
        <f t="shared" si="4"/>
        <v>0.16980000000000001</v>
      </c>
      <c r="J35" s="92" t="s">
        <v>63</v>
      </c>
      <c r="K35" s="93" t="s">
        <v>54</v>
      </c>
      <c r="L35" s="94">
        <v>1</v>
      </c>
      <c r="M35" s="95">
        <v>1.59</v>
      </c>
      <c r="N35" s="96">
        <f>IFERROR(M35/L35,"")</f>
        <v>1.59</v>
      </c>
    </row>
    <row r="36" spans="1:14" ht="20.25" thickTop="1" thickBot="1" x14ac:dyDescent="0.35">
      <c r="A36" s="19">
        <f t="shared" si="1"/>
        <v>133</v>
      </c>
      <c r="B36" s="14" t="s">
        <v>171</v>
      </c>
      <c r="C36" s="15" t="s">
        <v>31</v>
      </c>
      <c r="D36" s="15">
        <v>1</v>
      </c>
      <c r="E36" s="17">
        <v>4</v>
      </c>
      <c r="F36" s="18">
        <v>4</v>
      </c>
      <c r="J36" s="92" t="s">
        <v>102</v>
      </c>
      <c r="K36" s="93" t="s">
        <v>31</v>
      </c>
      <c r="L36" s="93">
        <v>1</v>
      </c>
      <c r="M36" s="95">
        <v>9.39</v>
      </c>
      <c r="N36" s="96">
        <v>9.39</v>
      </c>
    </row>
    <row r="37" spans="1:14" ht="20.25" thickTop="1" thickBot="1" x14ac:dyDescent="0.35">
      <c r="A37" s="19">
        <f t="shared" si="1"/>
        <v>134</v>
      </c>
      <c r="B37" s="20" t="s">
        <v>112</v>
      </c>
      <c r="C37" s="21" t="s">
        <v>31</v>
      </c>
      <c r="D37" s="21">
        <v>10</v>
      </c>
      <c r="E37" s="23">
        <v>8.49</v>
      </c>
      <c r="F37" s="24">
        <f>IFERROR(E37/D37,"")</f>
        <v>0.84899999999999998</v>
      </c>
      <c r="J37" s="92" t="s">
        <v>90</v>
      </c>
      <c r="K37" s="93" t="s">
        <v>82</v>
      </c>
      <c r="L37" s="93">
        <v>1</v>
      </c>
      <c r="M37" s="95">
        <v>8.39</v>
      </c>
      <c r="N37" s="96">
        <f t="shared" ref="N37" si="5">IFERROR(M37/L37,"")</f>
        <v>8.39</v>
      </c>
    </row>
    <row r="38" spans="1:14" ht="20.25" thickTop="1" thickBot="1" x14ac:dyDescent="0.35">
      <c r="A38" s="19">
        <f t="shared" ref="A38:A69" si="6">A37+1</f>
        <v>135</v>
      </c>
      <c r="B38" s="14" t="s">
        <v>267</v>
      </c>
      <c r="C38" s="15" t="s">
        <v>31</v>
      </c>
      <c r="D38" s="15">
        <v>10</v>
      </c>
      <c r="E38" s="17">
        <v>2.99</v>
      </c>
      <c r="F38" s="18">
        <v>0.28999999999999998</v>
      </c>
      <c r="J38" s="92" t="s">
        <v>96</v>
      </c>
      <c r="K38" s="93" t="s">
        <v>31</v>
      </c>
      <c r="L38" s="93">
        <v>2</v>
      </c>
      <c r="M38" s="95">
        <v>4.99</v>
      </c>
      <c r="N38" s="96">
        <v>9.98</v>
      </c>
    </row>
    <row r="39" spans="1:14" ht="20.25" thickTop="1" thickBot="1" x14ac:dyDescent="0.35">
      <c r="A39" s="19">
        <f t="shared" si="6"/>
        <v>136</v>
      </c>
      <c r="B39" s="14" t="s">
        <v>266</v>
      </c>
      <c r="C39" s="15" t="s">
        <v>31</v>
      </c>
      <c r="D39" s="15">
        <v>10</v>
      </c>
      <c r="E39" s="17">
        <v>8.9</v>
      </c>
      <c r="F39" s="18">
        <f>IFERROR(E39/D39,"")</f>
        <v>0.89</v>
      </c>
      <c r="J39" s="97" t="s">
        <v>77</v>
      </c>
      <c r="K39" s="98" t="s">
        <v>78</v>
      </c>
      <c r="L39" s="98">
        <v>1</v>
      </c>
      <c r="M39" s="99">
        <v>10.15</v>
      </c>
      <c r="N39" s="100">
        <f>IFERROR(M39/L39,"")</f>
        <v>10.15</v>
      </c>
    </row>
    <row r="40" spans="1:14" ht="20.25" thickTop="1" thickBot="1" x14ac:dyDescent="0.35">
      <c r="A40" s="19">
        <f t="shared" si="6"/>
        <v>137</v>
      </c>
      <c r="B40" s="14" t="s">
        <v>111</v>
      </c>
      <c r="C40" s="15" t="s">
        <v>31</v>
      </c>
      <c r="D40" s="15">
        <v>10</v>
      </c>
      <c r="E40" s="17">
        <v>5.89</v>
      </c>
      <c r="F40" s="18">
        <v>0.57999999999999996</v>
      </c>
      <c r="J40" s="92" t="s">
        <v>101</v>
      </c>
      <c r="K40" s="93" t="s">
        <v>31</v>
      </c>
      <c r="L40" s="93">
        <v>1</v>
      </c>
      <c r="M40" s="95">
        <v>2.99</v>
      </c>
      <c r="N40" s="96">
        <v>2.99</v>
      </c>
    </row>
    <row r="41" spans="1:14" ht="20.25" thickTop="1" thickBot="1" x14ac:dyDescent="0.35">
      <c r="A41" s="19">
        <f t="shared" si="6"/>
        <v>138</v>
      </c>
      <c r="B41" s="20" t="s">
        <v>163</v>
      </c>
      <c r="C41" s="21" t="s">
        <v>67</v>
      </c>
      <c r="D41" s="22">
        <v>1000</v>
      </c>
      <c r="E41" s="23">
        <v>65</v>
      </c>
      <c r="F41" s="24">
        <f t="shared" ref="F41:F67" si="7">IFERROR(E41/D41,"")</f>
        <v>6.5000000000000002E-2</v>
      </c>
      <c r="J41" s="92" t="s">
        <v>98</v>
      </c>
      <c r="K41" s="93" t="s">
        <v>31</v>
      </c>
      <c r="L41" s="93">
        <v>1</v>
      </c>
      <c r="M41" s="95">
        <v>4.59</v>
      </c>
      <c r="N41" s="96">
        <v>4.59</v>
      </c>
    </row>
    <row r="42" spans="1:14" ht="20.25" thickTop="1" thickBot="1" x14ac:dyDescent="0.35">
      <c r="A42" s="19">
        <f t="shared" si="6"/>
        <v>139</v>
      </c>
      <c r="B42" s="14" t="s">
        <v>35</v>
      </c>
      <c r="C42" s="15" t="s">
        <v>4</v>
      </c>
      <c r="D42" s="16">
        <v>1700</v>
      </c>
      <c r="E42" s="17">
        <v>1</v>
      </c>
      <c r="F42" s="18">
        <f t="shared" si="7"/>
        <v>5.8823529411764701E-4</v>
      </c>
      <c r="J42" s="92" t="s">
        <v>100</v>
      </c>
      <c r="K42" s="93" t="s">
        <v>31</v>
      </c>
      <c r="L42" s="93">
        <v>1</v>
      </c>
      <c r="M42" s="95">
        <v>3.99</v>
      </c>
      <c r="N42" s="96">
        <v>3.99</v>
      </c>
    </row>
    <row r="43" spans="1:14" ht="20.25" thickTop="1" thickBot="1" x14ac:dyDescent="0.35">
      <c r="A43" s="19">
        <f t="shared" si="6"/>
        <v>140</v>
      </c>
      <c r="B43" s="20" t="s">
        <v>43</v>
      </c>
      <c r="C43" s="21" t="s">
        <v>41</v>
      </c>
      <c r="D43" s="22">
        <v>200</v>
      </c>
      <c r="E43" s="23">
        <v>3.39</v>
      </c>
      <c r="F43" s="24">
        <f t="shared" si="7"/>
        <v>1.695E-2</v>
      </c>
      <c r="J43" s="97" t="s">
        <v>87</v>
      </c>
      <c r="K43" s="98" t="s">
        <v>78</v>
      </c>
      <c r="L43" s="98">
        <v>1</v>
      </c>
      <c r="M43" s="99">
        <v>7.2</v>
      </c>
      <c r="N43" s="100">
        <f>IFERROR(M43/L43,"")</f>
        <v>7.2</v>
      </c>
    </row>
    <row r="44" spans="1:14" ht="20.25" thickTop="1" thickBot="1" x14ac:dyDescent="0.35">
      <c r="A44" s="19">
        <f t="shared" si="6"/>
        <v>141</v>
      </c>
      <c r="B44" s="14" t="s">
        <v>42</v>
      </c>
      <c r="C44" s="15" t="s">
        <v>41</v>
      </c>
      <c r="D44" s="16">
        <v>200</v>
      </c>
      <c r="E44" s="17">
        <v>2.75</v>
      </c>
      <c r="F44" s="18">
        <f t="shared" si="7"/>
        <v>1.375E-2</v>
      </c>
    </row>
    <row r="45" spans="1:14" ht="20.25" thickTop="1" thickBot="1" x14ac:dyDescent="0.35">
      <c r="A45" s="19">
        <f t="shared" si="6"/>
        <v>142</v>
      </c>
      <c r="B45" s="55" t="s">
        <v>260</v>
      </c>
      <c r="C45" s="48" t="s">
        <v>31</v>
      </c>
      <c r="D45" s="56">
        <v>10</v>
      </c>
      <c r="E45" s="56">
        <v>0.9</v>
      </c>
      <c r="F45" s="57">
        <f t="shared" si="7"/>
        <v>0.09</v>
      </c>
    </row>
    <row r="46" spans="1:14" s="8" customFormat="1" ht="20.25" thickTop="1" thickBot="1" x14ac:dyDescent="0.35">
      <c r="A46" s="19">
        <f t="shared" si="6"/>
        <v>143</v>
      </c>
      <c r="B46" s="14"/>
      <c r="C46" s="15"/>
      <c r="D46" s="15"/>
      <c r="E46" s="17"/>
      <c r="F46" s="18"/>
    </row>
    <row r="47" spans="1:14" ht="20.25" thickTop="1" thickBot="1" x14ac:dyDescent="0.35">
      <c r="A47" s="19">
        <f t="shared" si="6"/>
        <v>144</v>
      </c>
      <c r="B47" s="20" t="s">
        <v>162</v>
      </c>
      <c r="C47" s="21" t="s">
        <v>67</v>
      </c>
      <c r="D47" s="21">
        <v>1000</v>
      </c>
      <c r="E47" s="23">
        <v>50</v>
      </c>
      <c r="F47" s="24">
        <f t="shared" si="7"/>
        <v>0.05</v>
      </c>
    </row>
    <row r="48" spans="1:14" ht="20.25" thickTop="1" thickBot="1" x14ac:dyDescent="0.35">
      <c r="A48" s="19">
        <f t="shared" si="6"/>
        <v>145</v>
      </c>
      <c r="B48" s="14" t="s">
        <v>108</v>
      </c>
      <c r="C48" s="15" t="s">
        <v>31</v>
      </c>
      <c r="D48" s="15">
        <v>10</v>
      </c>
      <c r="E48" s="17">
        <v>2</v>
      </c>
      <c r="F48" s="18">
        <f t="shared" si="7"/>
        <v>0.2</v>
      </c>
    </row>
    <row r="49" spans="1:6" ht="20.25" thickTop="1" thickBot="1" x14ac:dyDescent="0.35">
      <c r="A49" s="19">
        <f t="shared" si="6"/>
        <v>146</v>
      </c>
      <c r="B49" s="20" t="s">
        <v>50</v>
      </c>
      <c r="C49" s="21" t="s">
        <v>31</v>
      </c>
      <c r="D49" s="22">
        <v>10</v>
      </c>
      <c r="E49" s="23">
        <v>5.99</v>
      </c>
      <c r="F49" s="24">
        <f t="shared" si="7"/>
        <v>0.59899999999999998</v>
      </c>
    </row>
    <row r="50" spans="1:6" ht="20.25" thickTop="1" thickBot="1" x14ac:dyDescent="0.35">
      <c r="A50" s="19">
        <f t="shared" si="6"/>
        <v>147</v>
      </c>
      <c r="B50" s="14"/>
      <c r="C50" s="15"/>
      <c r="D50" s="16"/>
      <c r="E50" s="17"/>
      <c r="F50" s="18" t="str">
        <f t="shared" si="7"/>
        <v/>
      </c>
    </row>
    <row r="51" spans="1:6" ht="20.25" thickTop="1" thickBot="1" x14ac:dyDescent="0.35">
      <c r="A51" s="19">
        <f t="shared" si="6"/>
        <v>148</v>
      </c>
      <c r="B51" s="20" t="s">
        <v>109</v>
      </c>
      <c r="C51" s="21" t="s">
        <v>31</v>
      </c>
      <c r="D51" s="21">
        <v>10</v>
      </c>
      <c r="E51" s="23">
        <v>2.5</v>
      </c>
      <c r="F51" s="24">
        <f t="shared" si="7"/>
        <v>0.25</v>
      </c>
    </row>
    <row r="52" spans="1:6" ht="20.25" thickTop="1" thickBot="1" x14ac:dyDescent="0.35">
      <c r="A52" s="19">
        <f t="shared" si="6"/>
        <v>149</v>
      </c>
      <c r="B52" s="14" t="s">
        <v>37</v>
      </c>
      <c r="C52" s="15" t="s">
        <v>31</v>
      </c>
      <c r="D52" s="16">
        <v>25</v>
      </c>
      <c r="E52" s="17">
        <v>18</v>
      </c>
      <c r="F52" s="18">
        <f t="shared" si="7"/>
        <v>0.72</v>
      </c>
    </row>
    <row r="53" spans="1:6" ht="20.25" thickTop="1" thickBot="1" x14ac:dyDescent="0.35">
      <c r="A53" s="19">
        <f t="shared" si="6"/>
        <v>150</v>
      </c>
      <c r="B53" s="20" t="s">
        <v>106</v>
      </c>
      <c r="C53" s="21" t="s">
        <v>31</v>
      </c>
      <c r="D53" s="21">
        <v>10</v>
      </c>
      <c r="E53" s="23">
        <v>3.99</v>
      </c>
      <c r="F53" s="24">
        <f t="shared" si="7"/>
        <v>0.39900000000000002</v>
      </c>
    </row>
    <row r="54" spans="1:6" ht="20.25" thickTop="1" thickBot="1" x14ac:dyDescent="0.35">
      <c r="A54" s="19">
        <f t="shared" si="6"/>
        <v>151</v>
      </c>
      <c r="B54" s="14" t="s">
        <v>110</v>
      </c>
      <c r="C54" s="15" t="s">
        <v>31</v>
      </c>
      <c r="D54" s="15">
        <v>10</v>
      </c>
      <c r="E54" s="17">
        <v>3.65</v>
      </c>
      <c r="F54" s="18">
        <f t="shared" si="7"/>
        <v>0.36499999999999999</v>
      </c>
    </row>
    <row r="55" spans="1:6" ht="20.25" thickTop="1" thickBot="1" x14ac:dyDescent="0.35">
      <c r="A55" s="19">
        <f t="shared" si="6"/>
        <v>152</v>
      </c>
      <c r="B55" s="20" t="s">
        <v>58</v>
      </c>
      <c r="C55" s="21" t="s">
        <v>31</v>
      </c>
      <c r="D55" s="22">
        <v>9</v>
      </c>
      <c r="E55" s="23">
        <v>5.31</v>
      </c>
      <c r="F55" s="24">
        <f t="shared" si="7"/>
        <v>0.59</v>
      </c>
    </row>
    <row r="56" spans="1:6" ht="20.25" thickTop="1" thickBot="1" x14ac:dyDescent="0.35">
      <c r="A56" s="19">
        <f t="shared" si="6"/>
        <v>153</v>
      </c>
      <c r="B56" s="14" t="s">
        <v>56</v>
      </c>
      <c r="C56" s="15" t="s">
        <v>4</v>
      </c>
      <c r="D56" s="16">
        <v>52</v>
      </c>
      <c r="E56" s="17">
        <v>7.23</v>
      </c>
      <c r="F56" s="18">
        <f t="shared" si="7"/>
        <v>0.13903846153846156</v>
      </c>
    </row>
    <row r="57" spans="1:6" ht="20.25" thickTop="1" thickBot="1" x14ac:dyDescent="0.35">
      <c r="A57" s="19">
        <f t="shared" si="6"/>
        <v>154</v>
      </c>
      <c r="B57" s="20" t="s">
        <v>57</v>
      </c>
      <c r="C57" s="21" t="s">
        <v>31</v>
      </c>
      <c r="D57" s="22">
        <v>20</v>
      </c>
      <c r="E57" s="23">
        <v>16</v>
      </c>
      <c r="F57" s="24">
        <f t="shared" si="7"/>
        <v>0.8</v>
      </c>
    </row>
    <row r="58" spans="1:6" ht="20.25" thickTop="1" thickBot="1" x14ac:dyDescent="0.35">
      <c r="A58" s="19">
        <f t="shared" si="6"/>
        <v>155</v>
      </c>
      <c r="B58" s="14" t="s">
        <v>38</v>
      </c>
      <c r="C58" s="15" t="s">
        <v>31</v>
      </c>
      <c r="D58" s="16">
        <v>10</v>
      </c>
      <c r="E58" s="17">
        <v>2.4900000000000002</v>
      </c>
      <c r="F58" s="18">
        <f t="shared" si="7"/>
        <v>0.24900000000000003</v>
      </c>
    </row>
    <row r="59" spans="1:6" ht="20.25" thickTop="1" thickBot="1" x14ac:dyDescent="0.35">
      <c r="A59" s="19">
        <f t="shared" si="6"/>
        <v>156</v>
      </c>
      <c r="B59" s="20" t="s">
        <v>105</v>
      </c>
      <c r="C59" s="21" t="s">
        <v>31</v>
      </c>
      <c r="D59" s="21">
        <v>10</v>
      </c>
      <c r="E59" s="23">
        <v>5.99</v>
      </c>
      <c r="F59" s="24">
        <f t="shared" si="7"/>
        <v>0.59899999999999998</v>
      </c>
    </row>
    <row r="60" spans="1:6" ht="20.25" thickTop="1" thickBot="1" x14ac:dyDescent="0.35">
      <c r="A60" s="19">
        <f t="shared" si="6"/>
        <v>157</v>
      </c>
      <c r="B60" s="14" t="s">
        <v>55</v>
      </c>
      <c r="C60" s="15" t="s">
        <v>31</v>
      </c>
      <c r="D60" s="15">
        <v>10</v>
      </c>
      <c r="E60" s="17">
        <v>2</v>
      </c>
      <c r="F60" s="18">
        <f t="shared" si="7"/>
        <v>0.2</v>
      </c>
    </row>
    <row r="61" spans="1:6" ht="20.25" thickTop="1" thickBot="1" x14ac:dyDescent="0.35">
      <c r="A61" s="19">
        <f t="shared" si="6"/>
        <v>158</v>
      </c>
      <c r="B61" s="20" t="s">
        <v>158</v>
      </c>
      <c r="C61" s="21" t="s">
        <v>172</v>
      </c>
      <c r="D61" s="22">
        <v>30</v>
      </c>
      <c r="E61" s="23">
        <v>2.99</v>
      </c>
      <c r="F61" s="24">
        <f t="shared" si="7"/>
        <v>9.9666666666666667E-2</v>
      </c>
    </row>
    <row r="62" spans="1:6" ht="20.25" thickTop="1" thickBot="1" x14ac:dyDescent="0.35">
      <c r="A62" s="19">
        <f>A61+1</f>
        <v>159</v>
      </c>
      <c r="B62" s="14" t="s">
        <v>107</v>
      </c>
      <c r="C62" s="15" t="s">
        <v>31</v>
      </c>
      <c r="D62" s="15">
        <v>1</v>
      </c>
      <c r="E62" s="17">
        <v>2.59</v>
      </c>
      <c r="F62" s="18">
        <f t="shared" si="7"/>
        <v>2.59</v>
      </c>
    </row>
    <row r="63" spans="1:6" ht="20.25" thickTop="1" thickBot="1" x14ac:dyDescent="0.35">
      <c r="A63" s="19">
        <f t="shared" si="6"/>
        <v>160</v>
      </c>
      <c r="B63" s="20" t="s">
        <v>48</v>
      </c>
      <c r="C63" s="21" t="s">
        <v>41</v>
      </c>
      <c r="D63" s="22">
        <v>1000</v>
      </c>
      <c r="E63" s="23">
        <v>63</v>
      </c>
      <c r="F63" s="24">
        <f t="shared" si="7"/>
        <v>6.3E-2</v>
      </c>
    </row>
    <row r="64" spans="1:6" ht="20.25" thickTop="1" thickBot="1" x14ac:dyDescent="0.35">
      <c r="A64" s="19">
        <f t="shared" si="6"/>
        <v>161</v>
      </c>
      <c r="B64" s="14" t="s">
        <v>115</v>
      </c>
      <c r="C64" s="15" t="s">
        <v>41</v>
      </c>
      <c r="D64" s="16">
        <v>1000</v>
      </c>
      <c r="E64" s="17">
        <v>23.99</v>
      </c>
      <c r="F64" s="18">
        <f t="shared" si="7"/>
        <v>2.3989999999999997E-2</v>
      </c>
    </row>
    <row r="65" spans="1:6" ht="20.25" thickTop="1" thickBot="1" x14ac:dyDescent="0.35">
      <c r="A65" s="19">
        <f t="shared" si="6"/>
        <v>162</v>
      </c>
      <c r="B65" s="20" t="s">
        <v>116</v>
      </c>
      <c r="C65" s="21" t="s">
        <v>41</v>
      </c>
      <c r="D65" s="22">
        <v>1000</v>
      </c>
      <c r="E65" s="23">
        <v>24.99</v>
      </c>
      <c r="F65" s="24">
        <f t="shared" si="7"/>
        <v>2.4989999999999998E-2</v>
      </c>
    </row>
    <row r="66" spans="1:6" ht="20.25" thickTop="1" thickBot="1" x14ac:dyDescent="0.35">
      <c r="A66" s="19">
        <f t="shared" si="6"/>
        <v>163</v>
      </c>
      <c r="B66" s="14" t="s">
        <v>44</v>
      </c>
      <c r="C66" s="15" t="s">
        <v>41</v>
      </c>
      <c r="D66" s="16">
        <v>125</v>
      </c>
      <c r="E66" s="17">
        <v>6.89</v>
      </c>
      <c r="F66" s="18">
        <f t="shared" si="7"/>
        <v>5.5119999999999995E-2</v>
      </c>
    </row>
    <row r="67" spans="1:6" ht="20.25" thickTop="1" thickBot="1" x14ac:dyDescent="0.35">
      <c r="A67" s="19">
        <f t="shared" si="6"/>
        <v>164</v>
      </c>
      <c r="B67" s="20" t="s">
        <v>149</v>
      </c>
      <c r="C67" s="21" t="s">
        <v>41</v>
      </c>
      <c r="D67" s="22">
        <v>1000</v>
      </c>
      <c r="E67" s="23">
        <v>12</v>
      </c>
      <c r="F67" s="24">
        <f t="shared" si="7"/>
        <v>1.2E-2</v>
      </c>
    </row>
    <row r="68" spans="1:6" ht="20.25" thickTop="1" thickBot="1" x14ac:dyDescent="0.35">
      <c r="A68" s="19">
        <f t="shared" si="6"/>
        <v>165</v>
      </c>
      <c r="B68" s="14" t="s">
        <v>135</v>
      </c>
      <c r="C68" s="15" t="s">
        <v>41</v>
      </c>
      <c r="D68" s="15">
        <v>250</v>
      </c>
      <c r="E68" s="17">
        <v>6.65</v>
      </c>
      <c r="F68" s="18">
        <v>2.5000000000000001E-2</v>
      </c>
    </row>
    <row r="69" spans="1:6" ht="20.25" thickTop="1" thickBot="1" x14ac:dyDescent="0.35">
      <c r="A69" s="19">
        <f t="shared" si="6"/>
        <v>166</v>
      </c>
      <c r="B69" s="14" t="s">
        <v>152</v>
      </c>
      <c r="C69" s="15" t="s">
        <v>67</v>
      </c>
      <c r="D69" s="15">
        <v>300</v>
      </c>
      <c r="E69" s="17">
        <v>28</v>
      </c>
      <c r="F69" s="18">
        <v>9.2999999999999999E-2</v>
      </c>
    </row>
    <row r="70" spans="1:6" ht="20.25" thickTop="1" thickBot="1" x14ac:dyDescent="0.35">
      <c r="A70" s="19">
        <f t="shared" ref="A70:A101" si="8">A69+1</f>
        <v>167</v>
      </c>
      <c r="B70" s="14" t="s">
        <v>272</v>
      </c>
      <c r="C70" s="15" t="s">
        <v>54</v>
      </c>
      <c r="D70" s="15">
        <v>1</v>
      </c>
      <c r="E70" s="17">
        <v>2.89</v>
      </c>
      <c r="F70" s="18">
        <v>2.89</v>
      </c>
    </row>
    <row r="71" spans="1:6" ht="20.25" thickTop="1" thickBot="1" x14ac:dyDescent="0.35">
      <c r="A71" s="19">
        <f t="shared" si="8"/>
        <v>168</v>
      </c>
      <c r="B71" s="14"/>
      <c r="C71" s="15"/>
      <c r="D71" s="15"/>
      <c r="E71" s="17"/>
      <c r="F71" s="18"/>
    </row>
    <row r="72" spans="1:6" ht="20.25" thickTop="1" thickBot="1" x14ac:dyDescent="0.35">
      <c r="A72" s="19">
        <f t="shared" si="8"/>
        <v>169</v>
      </c>
      <c r="B72" s="20"/>
      <c r="C72" s="21"/>
      <c r="D72" s="22"/>
      <c r="E72" s="23"/>
      <c r="F72" s="24"/>
    </row>
    <row r="73" spans="1:6" ht="20.25" thickTop="1" thickBot="1" x14ac:dyDescent="0.35">
      <c r="A73" s="19">
        <f t="shared" si="8"/>
        <v>170</v>
      </c>
      <c r="B73" s="14"/>
      <c r="C73" s="15"/>
      <c r="D73" s="16"/>
      <c r="E73" s="17"/>
      <c r="F73" s="18"/>
    </row>
    <row r="74" spans="1:6" ht="20.25" thickTop="1" thickBot="1" x14ac:dyDescent="0.35">
      <c r="A74" s="19">
        <f t="shared" si="8"/>
        <v>171</v>
      </c>
      <c r="B74" s="20"/>
      <c r="C74" s="21"/>
      <c r="D74" s="21"/>
      <c r="E74" s="23"/>
      <c r="F74" s="24"/>
    </row>
    <row r="75" spans="1:6" ht="20.25" thickTop="1" thickBot="1" x14ac:dyDescent="0.35">
      <c r="A75" s="19">
        <f t="shared" si="8"/>
        <v>172</v>
      </c>
      <c r="B75" s="14"/>
      <c r="C75" s="15"/>
      <c r="D75" s="15"/>
      <c r="E75" s="17"/>
      <c r="F75" s="18"/>
    </row>
    <row r="76" spans="1:6" ht="20.25" thickTop="1" thickBot="1" x14ac:dyDescent="0.35">
      <c r="A76" s="19">
        <f t="shared" si="8"/>
        <v>173</v>
      </c>
      <c r="B76" s="20"/>
      <c r="C76" s="21"/>
      <c r="D76" s="21"/>
      <c r="E76" s="23"/>
      <c r="F76" s="24"/>
    </row>
    <row r="77" spans="1:6" ht="20.25" thickTop="1" thickBot="1" x14ac:dyDescent="0.35">
      <c r="A77" s="19">
        <f t="shared" si="8"/>
        <v>174</v>
      </c>
      <c r="B77" s="14" t="s">
        <v>174</v>
      </c>
      <c r="C77" s="15" t="s">
        <v>31</v>
      </c>
      <c r="D77" s="15">
        <v>10</v>
      </c>
      <c r="E77" s="17">
        <v>8</v>
      </c>
      <c r="F77" s="18">
        <f>IFERROR(E77/D77,"")</f>
        <v>0.8</v>
      </c>
    </row>
    <row r="78" spans="1:6" ht="20.25" thickTop="1" thickBot="1" x14ac:dyDescent="0.35">
      <c r="A78" s="19">
        <f t="shared" si="8"/>
        <v>175</v>
      </c>
      <c r="B78" s="14" t="s">
        <v>104</v>
      </c>
      <c r="C78" s="15" t="s">
        <v>31</v>
      </c>
      <c r="D78" s="15">
        <v>10</v>
      </c>
      <c r="E78" s="17">
        <v>9.7899999999999991</v>
      </c>
      <c r="F78" s="18">
        <v>9.7899999999999991</v>
      </c>
    </row>
    <row r="79" spans="1:6" ht="20.25" thickTop="1" thickBot="1" x14ac:dyDescent="0.35">
      <c r="A79" s="19">
        <f t="shared" si="8"/>
        <v>176</v>
      </c>
      <c r="B79" s="20" t="s">
        <v>49</v>
      </c>
      <c r="C79" s="21" t="s">
        <v>31</v>
      </c>
      <c r="D79" s="22">
        <v>100</v>
      </c>
      <c r="E79" s="23">
        <v>2.15</v>
      </c>
      <c r="F79" s="24">
        <f t="shared" ref="F79:F85" si="9">IFERROR(E79/D79,"")</f>
        <v>2.1499999999999998E-2</v>
      </c>
    </row>
    <row r="80" spans="1:6" ht="20.25" thickTop="1" thickBot="1" x14ac:dyDescent="0.35">
      <c r="A80" s="19">
        <f t="shared" si="8"/>
        <v>177</v>
      </c>
      <c r="B80" s="14" t="s">
        <v>84</v>
      </c>
      <c r="C80" s="15" t="s">
        <v>85</v>
      </c>
      <c r="D80" s="15">
        <v>2</v>
      </c>
      <c r="E80" s="17">
        <v>1.6</v>
      </c>
      <c r="F80" s="18">
        <f t="shared" si="9"/>
        <v>0.8</v>
      </c>
    </row>
    <row r="81" spans="1:6" ht="20.25" thickTop="1" thickBot="1" x14ac:dyDescent="0.35">
      <c r="A81" s="19">
        <f t="shared" si="8"/>
        <v>178</v>
      </c>
      <c r="B81" s="20" t="s">
        <v>86</v>
      </c>
      <c r="C81" s="21" t="s">
        <v>54</v>
      </c>
      <c r="D81" s="21">
        <v>100</v>
      </c>
      <c r="E81" s="23">
        <v>1.5</v>
      </c>
      <c r="F81" s="24">
        <f t="shared" si="9"/>
        <v>1.4999999999999999E-2</v>
      </c>
    </row>
    <row r="82" spans="1:6" ht="20.25" thickTop="1" thickBot="1" x14ac:dyDescent="0.35">
      <c r="A82" s="19">
        <f t="shared" si="8"/>
        <v>179</v>
      </c>
      <c r="B82" s="14" t="s">
        <v>61</v>
      </c>
      <c r="C82" s="15" t="s">
        <v>41</v>
      </c>
      <c r="D82" s="16">
        <v>1000</v>
      </c>
      <c r="E82" s="17">
        <v>17.3</v>
      </c>
      <c r="F82" s="18">
        <f t="shared" si="9"/>
        <v>1.7299999999999999E-2</v>
      </c>
    </row>
    <row r="83" spans="1:6" ht="20.25" thickTop="1" thickBot="1" x14ac:dyDescent="0.35">
      <c r="A83" s="19">
        <f t="shared" si="8"/>
        <v>180</v>
      </c>
      <c r="B83" s="20" t="s">
        <v>62</v>
      </c>
      <c r="C83" s="21" t="s">
        <v>54</v>
      </c>
      <c r="D83" s="22"/>
      <c r="E83" s="23">
        <v>3.99</v>
      </c>
      <c r="F83" s="24" t="str">
        <f t="shared" si="9"/>
        <v/>
      </c>
    </row>
    <row r="84" spans="1:6" ht="20.25" thickTop="1" thickBot="1" x14ac:dyDescent="0.35">
      <c r="A84" s="19">
        <f t="shared" si="8"/>
        <v>181</v>
      </c>
      <c r="B84" s="14" t="s">
        <v>39</v>
      </c>
      <c r="C84" s="15" t="s">
        <v>31</v>
      </c>
      <c r="D84" s="16">
        <v>1</v>
      </c>
      <c r="E84" s="17">
        <v>0.65</v>
      </c>
      <c r="F84" s="18">
        <f t="shared" si="9"/>
        <v>0.65</v>
      </c>
    </row>
    <row r="85" spans="1:6" ht="20.25" thickTop="1" thickBot="1" x14ac:dyDescent="0.35">
      <c r="A85" s="19">
        <f t="shared" si="8"/>
        <v>182</v>
      </c>
      <c r="B85" s="20" t="s">
        <v>160</v>
      </c>
      <c r="C85" s="21" t="s">
        <v>67</v>
      </c>
      <c r="D85" s="21">
        <v>1000</v>
      </c>
      <c r="E85" s="23">
        <v>29</v>
      </c>
      <c r="F85" s="24">
        <f t="shared" si="9"/>
        <v>2.9000000000000001E-2</v>
      </c>
    </row>
    <row r="86" spans="1:6" ht="20.25" thickTop="1" thickBot="1" x14ac:dyDescent="0.35">
      <c r="A86" s="19">
        <f t="shared" si="8"/>
        <v>183</v>
      </c>
      <c r="B86" s="14" t="s">
        <v>80</v>
      </c>
      <c r="C86" s="15" t="s">
        <v>31</v>
      </c>
      <c r="D86" s="15">
        <v>2</v>
      </c>
      <c r="E86" s="17">
        <v>5.05</v>
      </c>
      <c r="F86" s="18">
        <v>5.05</v>
      </c>
    </row>
    <row r="87" spans="1:6" ht="20.25" thickTop="1" thickBot="1" x14ac:dyDescent="0.35">
      <c r="A87" s="19">
        <f t="shared" si="8"/>
        <v>184</v>
      </c>
      <c r="B87" s="14" t="s">
        <v>117</v>
      </c>
      <c r="C87" s="15" t="s">
        <v>41</v>
      </c>
      <c r="D87" s="16">
        <v>1000</v>
      </c>
      <c r="E87" s="17">
        <v>55</v>
      </c>
      <c r="F87" s="18">
        <f>IFERROR(E87/D87,"")</f>
        <v>5.5E-2</v>
      </c>
    </row>
    <row r="88" spans="1:6" ht="20.25" thickTop="1" thickBot="1" x14ac:dyDescent="0.35">
      <c r="A88" s="19">
        <f t="shared" si="8"/>
        <v>185</v>
      </c>
      <c r="B88" s="20" t="s">
        <v>161</v>
      </c>
      <c r="C88" s="21" t="s">
        <v>67</v>
      </c>
      <c r="D88" s="22">
        <v>70</v>
      </c>
      <c r="E88" s="23">
        <v>3.5</v>
      </c>
      <c r="F88" s="24">
        <f>IFERROR(E88/D88,"")</f>
        <v>0.05</v>
      </c>
    </row>
    <row r="89" spans="1:6" ht="20.25" thickTop="1" thickBot="1" x14ac:dyDescent="0.35">
      <c r="A89" s="19">
        <f t="shared" si="8"/>
        <v>186</v>
      </c>
      <c r="B89" s="14" t="s">
        <v>20</v>
      </c>
      <c r="C89" s="15" t="s">
        <v>4</v>
      </c>
      <c r="D89" s="16">
        <v>170</v>
      </c>
      <c r="E89" s="17">
        <v>2.79</v>
      </c>
      <c r="F89" s="18">
        <f>IFERROR(E89/D89,"")</f>
        <v>1.6411764705882355E-2</v>
      </c>
    </row>
    <row r="90" spans="1:6" ht="20.25" thickTop="1" thickBot="1" x14ac:dyDescent="0.35">
      <c r="A90" s="19">
        <f t="shared" si="8"/>
        <v>187</v>
      </c>
      <c r="B90" s="20"/>
      <c r="C90" s="21"/>
      <c r="D90" s="21"/>
      <c r="E90" s="23"/>
      <c r="F90" s="24"/>
    </row>
    <row r="91" spans="1:6" ht="20.25" thickTop="1" thickBot="1" x14ac:dyDescent="0.35">
      <c r="A91" s="19">
        <f t="shared" si="8"/>
        <v>188</v>
      </c>
      <c r="B91" s="14" t="s">
        <v>63</v>
      </c>
      <c r="C91" s="15" t="s">
        <v>54</v>
      </c>
      <c r="D91" s="16">
        <v>1</v>
      </c>
      <c r="E91" s="17">
        <v>1.59</v>
      </c>
      <c r="F91" s="18">
        <f>IFERROR(E91/D91,"")</f>
        <v>1.59</v>
      </c>
    </row>
    <row r="92" spans="1:6" ht="20.25" thickTop="1" thickBot="1" x14ac:dyDescent="0.35">
      <c r="A92" s="19">
        <f t="shared" si="8"/>
        <v>189</v>
      </c>
      <c r="B92" s="14" t="s">
        <v>102</v>
      </c>
      <c r="C92" s="15" t="s">
        <v>31</v>
      </c>
      <c r="D92" s="15">
        <v>1</v>
      </c>
      <c r="E92" s="17">
        <v>9.39</v>
      </c>
      <c r="F92" s="18">
        <v>9.39</v>
      </c>
    </row>
    <row r="93" spans="1:6" ht="20.25" thickTop="1" thickBot="1" x14ac:dyDescent="0.35">
      <c r="A93" s="19">
        <f t="shared" si="8"/>
        <v>190</v>
      </c>
      <c r="B93" s="20" t="s">
        <v>21</v>
      </c>
      <c r="C93" s="21" t="s">
        <v>36</v>
      </c>
      <c r="D93" s="22">
        <v>200</v>
      </c>
      <c r="E93" s="23">
        <v>0.87</v>
      </c>
      <c r="F93" s="24">
        <f t="shared" ref="F93:F104" si="10">IFERROR(E93/D93,"")</f>
        <v>4.3499999999999997E-3</v>
      </c>
    </row>
    <row r="94" spans="1:6" ht="20.25" thickTop="1" thickBot="1" x14ac:dyDescent="0.35">
      <c r="A94" s="19">
        <f t="shared" si="8"/>
        <v>191</v>
      </c>
      <c r="B94" s="14" t="s">
        <v>119</v>
      </c>
      <c r="C94" s="15" t="s">
        <v>41</v>
      </c>
      <c r="D94" s="16">
        <v>1000</v>
      </c>
      <c r="E94" s="17">
        <v>79.900000000000006</v>
      </c>
      <c r="F94" s="18">
        <f t="shared" si="10"/>
        <v>7.9899999999999999E-2</v>
      </c>
    </row>
    <row r="95" spans="1:6" ht="20.25" thickTop="1" thickBot="1" x14ac:dyDescent="0.35">
      <c r="A95" s="19">
        <f t="shared" si="8"/>
        <v>192</v>
      </c>
      <c r="B95" s="20" t="s">
        <v>18</v>
      </c>
      <c r="C95" s="21" t="s">
        <v>36</v>
      </c>
      <c r="D95" s="22">
        <v>500</v>
      </c>
      <c r="E95" s="23">
        <v>43.47</v>
      </c>
      <c r="F95" s="24">
        <f t="shared" si="10"/>
        <v>8.6940000000000003E-2</v>
      </c>
    </row>
    <row r="96" spans="1:6" ht="20.25" thickTop="1" thickBot="1" x14ac:dyDescent="0.35">
      <c r="A96" s="19">
        <f t="shared" si="8"/>
        <v>193</v>
      </c>
      <c r="B96" s="14" t="s">
        <v>157</v>
      </c>
      <c r="C96" s="15" t="s">
        <v>54</v>
      </c>
      <c r="D96" s="16">
        <v>10</v>
      </c>
      <c r="E96" s="17">
        <v>5</v>
      </c>
      <c r="F96" s="18">
        <f t="shared" si="10"/>
        <v>0.5</v>
      </c>
    </row>
    <row r="97" spans="1:6" ht="20.25" thickTop="1" thickBot="1" x14ac:dyDescent="0.35">
      <c r="A97" s="19">
        <f t="shared" si="8"/>
        <v>194</v>
      </c>
      <c r="B97" s="20" t="s">
        <v>13</v>
      </c>
      <c r="C97" s="21" t="s">
        <v>41</v>
      </c>
      <c r="D97" s="22">
        <v>1000</v>
      </c>
      <c r="E97" s="23">
        <v>3.99</v>
      </c>
      <c r="F97" s="24">
        <f t="shared" si="10"/>
        <v>3.9900000000000005E-3</v>
      </c>
    </row>
    <row r="98" spans="1:6" ht="20.25" thickTop="1" thickBot="1" x14ac:dyDescent="0.35">
      <c r="A98" s="19">
        <f t="shared" si="8"/>
        <v>195</v>
      </c>
      <c r="B98" s="14" t="s">
        <v>29</v>
      </c>
      <c r="C98" s="15" t="s">
        <v>41</v>
      </c>
      <c r="D98" s="16">
        <v>1000</v>
      </c>
      <c r="E98" s="17">
        <v>5</v>
      </c>
      <c r="F98" s="18">
        <f t="shared" si="10"/>
        <v>5.0000000000000001E-3</v>
      </c>
    </row>
    <row r="99" spans="1:6" ht="20.25" thickTop="1" thickBot="1" x14ac:dyDescent="0.35">
      <c r="A99" s="19">
        <f t="shared" si="8"/>
        <v>196</v>
      </c>
      <c r="B99" s="20" t="s">
        <v>53</v>
      </c>
      <c r="C99" s="21" t="s">
        <v>41</v>
      </c>
      <c r="D99" s="22">
        <v>3000</v>
      </c>
      <c r="E99" s="23">
        <v>190</v>
      </c>
      <c r="F99" s="24">
        <f t="shared" si="10"/>
        <v>6.3333333333333339E-2</v>
      </c>
    </row>
    <row r="100" spans="1:6" ht="20.25" thickTop="1" thickBot="1" x14ac:dyDescent="0.35">
      <c r="A100" s="19">
        <f t="shared" si="8"/>
        <v>197</v>
      </c>
      <c r="B100" s="14" t="s">
        <v>25</v>
      </c>
      <c r="C100" s="15" t="s">
        <v>41</v>
      </c>
      <c r="D100" s="16">
        <v>3000</v>
      </c>
      <c r="E100" s="17">
        <v>189</v>
      </c>
      <c r="F100" s="18">
        <f t="shared" si="10"/>
        <v>6.3E-2</v>
      </c>
    </row>
    <row r="101" spans="1:6" ht="20.25" thickTop="1" thickBot="1" x14ac:dyDescent="0.35">
      <c r="A101" s="19">
        <f t="shared" si="8"/>
        <v>198</v>
      </c>
      <c r="B101" s="20" t="s">
        <v>26</v>
      </c>
      <c r="C101" s="21" t="s">
        <v>32</v>
      </c>
      <c r="D101" s="22">
        <v>1400</v>
      </c>
      <c r="E101" s="23">
        <v>38</v>
      </c>
      <c r="F101" s="24">
        <f t="shared" si="10"/>
        <v>2.7142857142857142E-2</v>
      </c>
    </row>
    <row r="102" spans="1:6" ht="20.25" thickTop="1" thickBot="1" x14ac:dyDescent="0.35">
      <c r="A102" s="19">
        <f t="shared" ref="A102:A133" si="11">A101+1</f>
        <v>199</v>
      </c>
      <c r="B102" s="14"/>
      <c r="C102" s="15"/>
      <c r="D102" s="15"/>
      <c r="E102" s="17"/>
      <c r="F102" s="18"/>
    </row>
    <row r="103" spans="1:6" ht="20.25" thickTop="1" thickBot="1" x14ac:dyDescent="0.35">
      <c r="A103" s="19">
        <f t="shared" si="11"/>
        <v>200</v>
      </c>
      <c r="B103" s="20" t="s">
        <v>51</v>
      </c>
      <c r="C103" s="21" t="s">
        <v>31</v>
      </c>
      <c r="D103" s="22">
        <v>2</v>
      </c>
      <c r="E103" s="23">
        <v>5</v>
      </c>
      <c r="F103" s="24">
        <f t="shared" si="10"/>
        <v>2.5</v>
      </c>
    </row>
    <row r="104" spans="1:6" ht="20.25" thickTop="1" thickBot="1" x14ac:dyDescent="0.35">
      <c r="A104" s="19">
        <f t="shared" si="11"/>
        <v>201</v>
      </c>
      <c r="B104" s="14" t="s">
        <v>52</v>
      </c>
      <c r="C104" s="15" t="s">
        <v>41</v>
      </c>
      <c r="D104" s="16">
        <v>1000</v>
      </c>
      <c r="E104" s="17">
        <v>17.3</v>
      </c>
      <c r="F104" s="18">
        <f t="shared" si="10"/>
        <v>1.7299999999999999E-2</v>
      </c>
    </row>
    <row r="105" spans="1:6" ht="20.25" thickTop="1" thickBot="1" x14ac:dyDescent="0.35">
      <c r="A105" s="19">
        <f t="shared" si="11"/>
        <v>202</v>
      </c>
      <c r="B105" s="20"/>
      <c r="C105" s="21"/>
      <c r="D105" s="22"/>
      <c r="E105" s="23"/>
      <c r="F105" s="24"/>
    </row>
    <row r="106" spans="1:6" ht="20.25" thickTop="1" thickBot="1" x14ac:dyDescent="0.35">
      <c r="A106" s="19">
        <f t="shared" si="11"/>
        <v>203</v>
      </c>
      <c r="B106" s="14"/>
      <c r="C106" s="15"/>
      <c r="D106" s="15"/>
      <c r="E106" s="17"/>
      <c r="F106" s="18"/>
    </row>
    <row r="107" spans="1:6" ht="20.25" thickTop="1" thickBot="1" x14ac:dyDescent="0.35">
      <c r="A107" s="19">
        <f t="shared" si="11"/>
        <v>204</v>
      </c>
      <c r="B107" s="14" t="s">
        <v>15</v>
      </c>
      <c r="C107" s="15" t="s">
        <v>67</v>
      </c>
      <c r="D107" s="16">
        <v>500</v>
      </c>
      <c r="E107" s="17">
        <v>16</v>
      </c>
      <c r="F107" s="18">
        <f>IFERROR(E107/D107,"")</f>
        <v>3.2000000000000001E-2</v>
      </c>
    </row>
    <row r="108" spans="1:6" ht="20.25" thickTop="1" thickBot="1" x14ac:dyDescent="0.35">
      <c r="A108" s="19">
        <f t="shared" si="11"/>
        <v>205</v>
      </c>
      <c r="B108" s="20" t="s">
        <v>14</v>
      </c>
      <c r="C108" s="21" t="s">
        <v>31</v>
      </c>
      <c r="D108" s="22">
        <v>30</v>
      </c>
      <c r="E108" s="23">
        <v>15</v>
      </c>
      <c r="F108" s="24">
        <f>IFERROR(E108/D108,"")</f>
        <v>0.5</v>
      </c>
    </row>
    <row r="109" spans="1:6" ht="20.25" thickTop="1" thickBot="1" x14ac:dyDescent="0.35">
      <c r="A109" s="19">
        <f t="shared" si="11"/>
        <v>206</v>
      </c>
      <c r="B109" s="14" t="s">
        <v>28</v>
      </c>
      <c r="C109" s="15" t="s">
        <v>4</v>
      </c>
      <c r="D109" s="16">
        <v>1000</v>
      </c>
      <c r="E109" s="17">
        <v>23.9</v>
      </c>
      <c r="F109" s="18">
        <f>IFERROR(E109/D109,"")</f>
        <v>2.3899999999999998E-2</v>
      </c>
    </row>
    <row r="110" spans="1:6" ht="20.25" thickTop="1" thickBot="1" x14ac:dyDescent="0.35">
      <c r="A110" s="19">
        <f t="shared" si="11"/>
        <v>207</v>
      </c>
      <c r="B110" s="20"/>
      <c r="C110" s="21"/>
      <c r="D110" s="21"/>
      <c r="E110" s="23"/>
      <c r="F110" s="24"/>
    </row>
    <row r="111" spans="1:6" ht="20.25" thickTop="1" thickBot="1" x14ac:dyDescent="0.35">
      <c r="A111" s="19">
        <f t="shared" si="11"/>
        <v>208</v>
      </c>
      <c r="B111" s="14"/>
      <c r="C111" s="15"/>
      <c r="D111" s="15"/>
      <c r="E111" s="17"/>
      <c r="F111" s="18"/>
    </row>
    <row r="112" spans="1:6" ht="20.25" thickTop="1" thickBot="1" x14ac:dyDescent="0.35">
      <c r="A112" s="19">
        <f t="shared" si="11"/>
        <v>209</v>
      </c>
      <c r="B112" s="14"/>
      <c r="C112" s="15"/>
      <c r="D112" s="15"/>
      <c r="E112" s="17"/>
      <c r="F112" s="18"/>
    </row>
    <row r="113" spans="1:6" ht="20.25" thickTop="1" thickBot="1" x14ac:dyDescent="0.35">
      <c r="A113" s="19">
        <f t="shared" si="11"/>
        <v>210</v>
      </c>
      <c r="B113" s="14"/>
      <c r="C113" s="15"/>
      <c r="D113" s="15"/>
      <c r="E113" s="17"/>
      <c r="F113" s="18"/>
    </row>
    <row r="114" spans="1:6" ht="20.25" thickTop="1" thickBot="1" x14ac:dyDescent="0.35">
      <c r="A114" s="19">
        <f t="shared" si="11"/>
        <v>211</v>
      </c>
      <c r="B114" s="14" t="s">
        <v>278</v>
      </c>
      <c r="C114" s="15" t="s">
        <v>31</v>
      </c>
      <c r="D114" s="15">
        <v>100</v>
      </c>
      <c r="E114" s="17">
        <v>8.89</v>
      </c>
      <c r="F114" s="18">
        <f>IFERROR(E114/D114,"")</f>
        <v>8.8900000000000007E-2</v>
      </c>
    </row>
    <row r="115" spans="1:6" ht="20.25" thickTop="1" thickBot="1" x14ac:dyDescent="0.35">
      <c r="A115" s="19">
        <f t="shared" si="11"/>
        <v>212</v>
      </c>
      <c r="B115" s="20"/>
      <c r="C115" s="21"/>
      <c r="D115" s="21"/>
      <c r="E115" s="23"/>
      <c r="F115" s="24"/>
    </row>
    <row r="116" spans="1:6" ht="20.25" thickTop="1" thickBot="1" x14ac:dyDescent="0.35">
      <c r="A116" s="19">
        <f t="shared" si="11"/>
        <v>213</v>
      </c>
      <c r="B116" s="14" t="s">
        <v>12</v>
      </c>
      <c r="C116" s="15" t="s">
        <v>4</v>
      </c>
      <c r="D116" s="16">
        <v>300</v>
      </c>
      <c r="E116" s="17">
        <v>11.49</v>
      </c>
      <c r="F116" s="18">
        <f>IFERROR(E116/D116,"")</f>
        <v>3.8300000000000001E-2</v>
      </c>
    </row>
    <row r="117" spans="1:6" ht="20.25" thickTop="1" thickBot="1" x14ac:dyDescent="0.35">
      <c r="A117" s="19">
        <f t="shared" si="11"/>
        <v>214</v>
      </c>
      <c r="B117" s="20" t="s">
        <v>24</v>
      </c>
      <c r="C117" s="21" t="s">
        <v>4</v>
      </c>
      <c r="D117" s="22">
        <v>100</v>
      </c>
      <c r="E117" s="23">
        <v>2</v>
      </c>
      <c r="F117" s="24">
        <f>IFERROR(E117/D117,"")</f>
        <v>0.02</v>
      </c>
    </row>
    <row r="118" spans="1:6" ht="20.25" thickTop="1" thickBot="1" x14ac:dyDescent="0.35">
      <c r="A118" s="19">
        <f t="shared" si="11"/>
        <v>215</v>
      </c>
      <c r="B118" s="14"/>
      <c r="C118" s="15"/>
      <c r="D118" s="15"/>
      <c r="E118" s="17"/>
      <c r="F118" s="18"/>
    </row>
    <row r="119" spans="1:6" ht="20.25" thickTop="1" thickBot="1" x14ac:dyDescent="0.35">
      <c r="A119" s="19">
        <f t="shared" si="11"/>
        <v>216</v>
      </c>
      <c r="B119" s="14"/>
      <c r="C119" s="15"/>
      <c r="D119" s="16"/>
      <c r="E119" s="17"/>
      <c r="F119" s="18"/>
    </row>
    <row r="120" spans="1:6" ht="20.25" thickTop="1" thickBot="1" x14ac:dyDescent="0.35">
      <c r="A120" s="19">
        <f t="shared" si="11"/>
        <v>217</v>
      </c>
      <c r="B120" s="20" t="s">
        <v>88</v>
      </c>
      <c r="C120" s="21" t="s">
        <v>31</v>
      </c>
      <c r="D120" s="21">
        <v>1</v>
      </c>
      <c r="E120" s="23">
        <v>23.95</v>
      </c>
      <c r="F120" s="24">
        <f t="shared" ref="F120:F128" si="12">IFERROR(E120/D120,"")</f>
        <v>23.95</v>
      </c>
    </row>
    <row r="121" spans="1:6" ht="20.25" thickTop="1" thickBot="1" x14ac:dyDescent="0.35">
      <c r="A121" s="19">
        <f t="shared" si="11"/>
        <v>218</v>
      </c>
      <c r="B121" s="14" t="s">
        <v>118</v>
      </c>
      <c r="C121" s="15" t="s">
        <v>41</v>
      </c>
      <c r="D121" s="16">
        <v>1000</v>
      </c>
      <c r="E121" s="17">
        <v>55</v>
      </c>
      <c r="F121" s="18">
        <f t="shared" si="12"/>
        <v>5.5E-2</v>
      </c>
    </row>
    <row r="122" spans="1:6" ht="20.25" thickTop="1" thickBot="1" x14ac:dyDescent="0.35">
      <c r="A122" s="19">
        <f t="shared" si="11"/>
        <v>219</v>
      </c>
      <c r="B122" s="20" t="s">
        <v>30</v>
      </c>
      <c r="C122" s="21" t="s">
        <v>4</v>
      </c>
      <c r="D122" s="22">
        <v>1500</v>
      </c>
      <c r="E122" s="23">
        <v>22.95</v>
      </c>
      <c r="F122" s="24">
        <f t="shared" si="12"/>
        <v>1.5299999999999999E-2</v>
      </c>
    </row>
    <row r="123" spans="1:6" ht="20.25" thickTop="1" thickBot="1" x14ac:dyDescent="0.35">
      <c r="A123" s="19">
        <f t="shared" si="11"/>
        <v>220</v>
      </c>
      <c r="B123" s="14" t="s">
        <v>169</v>
      </c>
      <c r="C123" s="15" t="s">
        <v>41</v>
      </c>
      <c r="D123" s="16">
        <v>1000</v>
      </c>
      <c r="E123" s="17">
        <v>49.89</v>
      </c>
      <c r="F123" s="18">
        <f t="shared" si="12"/>
        <v>4.9890000000000004E-2</v>
      </c>
    </row>
    <row r="124" spans="1:6" ht="20.25" thickTop="1" thickBot="1" x14ac:dyDescent="0.35">
      <c r="A124" s="19">
        <f t="shared" si="11"/>
        <v>221</v>
      </c>
      <c r="B124" s="20" t="s">
        <v>150</v>
      </c>
      <c r="C124" s="21" t="s">
        <v>41</v>
      </c>
      <c r="D124" s="22">
        <v>200</v>
      </c>
      <c r="E124" s="23">
        <v>6.99</v>
      </c>
      <c r="F124" s="24">
        <f t="shared" si="12"/>
        <v>3.4950000000000002E-2</v>
      </c>
    </row>
    <row r="125" spans="1:6" ht="20.25" thickTop="1" thickBot="1" x14ac:dyDescent="0.35">
      <c r="A125" s="19">
        <f t="shared" si="11"/>
        <v>222</v>
      </c>
      <c r="B125" s="14"/>
      <c r="C125" s="15"/>
      <c r="D125" s="16"/>
      <c r="E125" s="17"/>
      <c r="F125" s="18" t="str">
        <f t="shared" si="12"/>
        <v/>
      </c>
    </row>
    <row r="126" spans="1:6" ht="20.25" thickTop="1" thickBot="1" x14ac:dyDescent="0.35">
      <c r="A126" s="19">
        <f t="shared" si="11"/>
        <v>223</v>
      </c>
      <c r="B126" s="20" t="s">
        <v>59</v>
      </c>
      <c r="C126" s="21" t="s">
        <v>31</v>
      </c>
      <c r="D126" s="22">
        <v>10</v>
      </c>
      <c r="E126" s="23">
        <v>4</v>
      </c>
      <c r="F126" s="24">
        <f t="shared" si="12"/>
        <v>0.4</v>
      </c>
    </row>
    <row r="127" spans="1:6" ht="20.25" thickTop="1" thickBot="1" x14ac:dyDescent="0.35">
      <c r="A127" s="19">
        <f t="shared" si="11"/>
        <v>224</v>
      </c>
      <c r="B127" s="14" t="s">
        <v>60</v>
      </c>
      <c r="C127" s="15" t="s">
        <v>41</v>
      </c>
      <c r="D127" s="16">
        <v>500</v>
      </c>
      <c r="E127" s="17">
        <v>19.3</v>
      </c>
      <c r="F127" s="18">
        <f t="shared" si="12"/>
        <v>3.8600000000000002E-2</v>
      </c>
    </row>
    <row r="128" spans="1:6" ht="20.25" thickTop="1" thickBot="1" x14ac:dyDescent="0.35">
      <c r="A128" s="19">
        <f t="shared" si="11"/>
        <v>225</v>
      </c>
      <c r="B128" s="20" t="s">
        <v>279</v>
      </c>
      <c r="C128" s="21" t="s">
        <v>54</v>
      </c>
      <c r="D128" s="22">
        <v>50</v>
      </c>
      <c r="E128" s="23">
        <v>4.29</v>
      </c>
      <c r="F128" s="24">
        <f t="shared" si="12"/>
        <v>8.5800000000000001E-2</v>
      </c>
    </row>
    <row r="129" spans="1:6" ht="20.25" thickTop="1" thickBot="1" x14ac:dyDescent="0.35">
      <c r="A129" s="19">
        <f t="shared" si="11"/>
        <v>226</v>
      </c>
      <c r="B129" s="14" t="s">
        <v>146</v>
      </c>
      <c r="C129" s="15" t="s">
        <v>54</v>
      </c>
      <c r="D129" s="15">
        <v>100</v>
      </c>
      <c r="E129" s="17">
        <v>8.15</v>
      </c>
      <c r="F129" s="18">
        <v>8.1000000000000003E-2</v>
      </c>
    </row>
    <row r="130" spans="1:6" ht="20.25" thickTop="1" thickBot="1" x14ac:dyDescent="0.35">
      <c r="A130" s="19">
        <f t="shared" si="11"/>
        <v>227</v>
      </c>
      <c r="B130" s="14" t="s">
        <v>81</v>
      </c>
      <c r="C130" s="15" t="s">
        <v>31</v>
      </c>
      <c r="D130" s="15">
        <v>50</v>
      </c>
      <c r="E130" s="17">
        <v>44.5</v>
      </c>
      <c r="F130" s="18">
        <f>IFERROR(E130/D130,"")</f>
        <v>0.89</v>
      </c>
    </row>
    <row r="131" spans="1:6" ht="20.25" thickTop="1" thickBot="1" x14ac:dyDescent="0.35">
      <c r="A131" s="19">
        <f t="shared" si="11"/>
        <v>228</v>
      </c>
      <c r="B131" s="20" t="s">
        <v>81</v>
      </c>
      <c r="C131" s="21" t="s">
        <v>82</v>
      </c>
      <c r="D131" s="21">
        <v>10</v>
      </c>
      <c r="E131" s="23">
        <v>1.99</v>
      </c>
      <c r="F131" s="24">
        <f>IFERROR(E131/D131,"")</f>
        <v>0.19900000000000001</v>
      </c>
    </row>
    <row r="132" spans="1:6" ht="20.25" thickTop="1" thickBot="1" x14ac:dyDescent="0.35">
      <c r="A132" s="19">
        <f t="shared" si="11"/>
        <v>229</v>
      </c>
      <c r="B132" s="14"/>
      <c r="C132" s="15"/>
      <c r="D132" s="15"/>
      <c r="E132" s="17"/>
      <c r="F132" s="18"/>
    </row>
    <row r="133" spans="1:6" ht="20.25" thickTop="1" thickBot="1" x14ac:dyDescent="0.35">
      <c r="A133" s="19">
        <f t="shared" si="11"/>
        <v>230</v>
      </c>
      <c r="B133" s="14"/>
      <c r="C133" s="15" t="s">
        <v>31</v>
      </c>
      <c r="D133" s="15">
        <v>10</v>
      </c>
      <c r="E133" s="17">
        <v>1.49</v>
      </c>
      <c r="F133" s="18">
        <f>IFERROR(E133/D133,"")</f>
        <v>0.14899999999999999</v>
      </c>
    </row>
    <row r="134" spans="1:6" ht="20.25" thickTop="1" thickBot="1" x14ac:dyDescent="0.35">
      <c r="A134" s="19">
        <f t="shared" ref="A134:A153" si="13">A133+1</f>
        <v>231</v>
      </c>
      <c r="B134" s="14" t="s">
        <v>92</v>
      </c>
      <c r="C134" s="15" t="s">
        <v>31</v>
      </c>
      <c r="D134" s="15">
        <v>10</v>
      </c>
      <c r="E134" s="17">
        <v>1.49</v>
      </c>
      <c r="F134" s="18">
        <v>14.9</v>
      </c>
    </row>
    <row r="135" spans="1:6" ht="20.25" thickTop="1" thickBot="1" x14ac:dyDescent="0.35">
      <c r="A135" s="19">
        <f t="shared" si="13"/>
        <v>232</v>
      </c>
      <c r="B135" s="20" t="s">
        <v>47</v>
      </c>
      <c r="C135" s="21" t="s">
        <v>41</v>
      </c>
      <c r="D135" s="21">
        <v>1000</v>
      </c>
      <c r="E135" s="23">
        <v>36.520000000000003</v>
      </c>
      <c r="F135" s="24">
        <f>IFERROR(E135/D135,"")</f>
        <v>3.6520000000000004E-2</v>
      </c>
    </row>
    <row r="136" spans="1:6" ht="20.25" thickTop="1" thickBot="1" x14ac:dyDescent="0.35">
      <c r="A136" s="19">
        <f t="shared" si="13"/>
        <v>233</v>
      </c>
      <c r="B136" s="14" t="s">
        <v>159</v>
      </c>
      <c r="C136" s="15" t="s">
        <v>67</v>
      </c>
      <c r="D136" s="16">
        <v>1000</v>
      </c>
      <c r="E136" s="17">
        <v>34.47</v>
      </c>
      <c r="F136" s="18">
        <f>IFERROR(E136/D136,"")</f>
        <v>3.4470000000000001E-2</v>
      </c>
    </row>
    <row r="137" spans="1:6" ht="20.25" thickTop="1" thickBot="1" x14ac:dyDescent="0.35">
      <c r="A137" s="19">
        <f t="shared" si="13"/>
        <v>234</v>
      </c>
      <c r="B137" s="20" t="s">
        <v>22</v>
      </c>
      <c r="C137" s="21" t="s">
        <v>67</v>
      </c>
      <c r="D137" s="22">
        <v>1000</v>
      </c>
      <c r="E137" s="23">
        <v>1.5</v>
      </c>
      <c r="F137" s="24">
        <f>IFERROR(E137/D137,"")</f>
        <v>1.5E-3</v>
      </c>
    </row>
    <row r="138" spans="1:6" ht="20.25" thickTop="1" thickBot="1" x14ac:dyDescent="0.35">
      <c r="A138" s="19">
        <f t="shared" si="13"/>
        <v>235</v>
      </c>
      <c r="B138" s="14" t="s">
        <v>27</v>
      </c>
      <c r="C138" s="15" t="s">
        <v>4</v>
      </c>
      <c r="D138" s="16">
        <v>1000</v>
      </c>
      <c r="E138" s="17">
        <v>2</v>
      </c>
      <c r="F138" s="18">
        <f>IFERROR(E138/D138,"")</f>
        <v>2E-3</v>
      </c>
    </row>
    <row r="139" spans="1:6" ht="20.25" thickTop="1" thickBot="1" x14ac:dyDescent="0.35">
      <c r="A139" s="19">
        <f t="shared" si="13"/>
        <v>236</v>
      </c>
      <c r="B139" s="14" t="s">
        <v>95</v>
      </c>
      <c r="C139" s="15" t="s">
        <v>82</v>
      </c>
      <c r="D139" s="15">
        <v>1</v>
      </c>
      <c r="E139" s="17">
        <v>9.9499999999999993</v>
      </c>
      <c r="F139" s="18">
        <v>9.9499999999999993</v>
      </c>
    </row>
    <row r="140" spans="1:6" ht="20.25" thickTop="1" thickBot="1" x14ac:dyDescent="0.35">
      <c r="A140" s="19">
        <f t="shared" si="13"/>
        <v>237</v>
      </c>
      <c r="B140" s="20" t="s">
        <v>40</v>
      </c>
      <c r="C140" s="21" t="s">
        <v>4</v>
      </c>
      <c r="D140" s="22">
        <v>1000</v>
      </c>
      <c r="E140" s="23">
        <v>5</v>
      </c>
      <c r="F140" s="24">
        <f>IFERROR(E140/D140,"")</f>
        <v>5.0000000000000001E-3</v>
      </c>
    </row>
    <row r="141" spans="1:6" ht="20.25" thickTop="1" thickBot="1" x14ac:dyDescent="0.35">
      <c r="A141" s="19">
        <f t="shared" si="13"/>
        <v>238</v>
      </c>
      <c r="B141" s="14" t="s">
        <v>76</v>
      </c>
      <c r="C141" s="15" t="s">
        <v>31</v>
      </c>
      <c r="D141" s="15">
        <v>1</v>
      </c>
      <c r="E141" s="17">
        <v>1.99</v>
      </c>
      <c r="F141" s="18">
        <f>IFERROR(E141/D141,"")</f>
        <v>1.99</v>
      </c>
    </row>
    <row r="142" spans="1:6" ht="20.25" thickTop="1" thickBot="1" x14ac:dyDescent="0.35">
      <c r="A142" s="19">
        <f t="shared" si="13"/>
        <v>239</v>
      </c>
      <c r="B142" s="20" t="s">
        <v>113</v>
      </c>
      <c r="C142" s="21" t="s">
        <v>31</v>
      </c>
      <c r="D142" s="21">
        <v>50</v>
      </c>
      <c r="E142" s="23">
        <v>5.45</v>
      </c>
      <c r="F142" s="24">
        <f>IFERROR(E142/D142,"")</f>
        <v>0.109</v>
      </c>
    </row>
    <row r="143" spans="1:6" ht="20.25" thickTop="1" thickBot="1" x14ac:dyDescent="0.35">
      <c r="A143" s="19">
        <f t="shared" si="13"/>
        <v>240</v>
      </c>
      <c r="B143" s="14"/>
      <c r="C143" s="15" t="s">
        <v>31</v>
      </c>
      <c r="D143" s="15">
        <v>50</v>
      </c>
      <c r="E143" s="17">
        <v>5.45</v>
      </c>
      <c r="F143" s="18">
        <v>11.45</v>
      </c>
    </row>
    <row r="144" spans="1:6" ht="20.25" thickTop="1" thickBot="1" x14ac:dyDescent="0.35">
      <c r="A144" s="19">
        <f t="shared" si="13"/>
        <v>241</v>
      </c>
      <c r="B144" s="14" t="s">
        <v>89</v>
      </c>
      <c r="C144" s="15" t="s">
        <v>31</v>
      </c>
      <c r="D144" s="15">
        <v>1</v>
      </c>
      <c r="E144" s="17">
        <v>10.7</v>
      </c>
      <c r="F144" s="18">
        <f t="shared" ref="F144:F153" si="14">IFERROR(E144/D144,"")</f>
        <v>10.7</v>
      </c>
    </row>
    <row r="145" spans="1:6" ht="20.25" thickTop="1" thickBot="1" x14ac:dyDescent="0.35">
      <c r="A145" s="19">
        <f t="shared" si="13"/>
        <v>242</v>
      </c>
      <c r="B145" s="20" t="s">
        <v>71</v>
      </c>
      <c r="C145" s="21" t="s">
        <v>31</v>
      </c>
      <c r="D145" s="21">
        <v>1</v>
      </c>
      <c r="E145" s="23">
        <v>3.99</v>
      </c>
      <c r="F145" s="24">
        <f t="shared" si="14"/>
        <v>3.99</v>
      </c>
    </row>
    <row r="146" spans="1:6" ht="20.25" thickTop="1" thickBot="1" x14ac:dyDescent="0.35">
      <c r="A146" s="19">
        <f t="shared" si="13"/>
        <v>243</v>
      </c>
      <c r="B146" s="14" t="s">
        <v>23</v>
      </c>
      <c r="C146" s="15" t="s">
        <v>67</v>
      </c>
      <c r="D146" s="16">
        <v>1000</v>
      </c>
      <c r="E146" s="17">
        <v>4</v>
      </c>
      <c r="F146" s="18">
        <f t="shared" si="14"/>
        <v>4.0000000000000001E-3</v>
      </c>
    </row>
    <row r="147" spans="1:6" ht="20.25" thickTop="1" thickBot="1" x14ac:dyDescent="0.35">
      <c r="A147" s="19">
        <f t="shared" si="13"/>
        <v>244</v>
      </c>
      <c r="B147" s="20" t="s">
        <v>70</v>
      </c>
      <c r="C147" s="21" t="s">
        <v>31</v>
      </c>
      <c r="D147" s="21">
        <v>4</v>
      </c>
      <c r="E147" s="23">
        <v>3.8</v>
      </c>
      <c r="F147" s="24">
        <f t="shared" si="14"/>
        <v>0.95</v>
      </c>
    </row>
    <row r="148" spans="1:6" ht="20.25" thickTop="1" thickBot="1" x14ac:dyDescent="0.35">
      <c r="A148" s="19">
        <f t="shared" si="13"/>
        <v>245</v>
      </c>
      <c r="B148" s="14" t="s">
        <v>170</v>
      </c>
      <c r="C148" s="15" t="s">
        <v>54</v>
      </c>
      <c r="D148" s="15">
        <v>1</v>
      </c>
      <c r="E148" s="17">
        <v>2.5</v>
      </c>
      <c r="F148" s="18">
        <f t="shared" si="14"/>
        <v>2.5</v>
      </c>
    </row>
    <row r="149" spans="1:6" ht="20.25" thickTop="1" thickBot="1" x14ac:dyDescent="0.35">
      <c r="A149" s="19">
        <f t="shared" si="13"/>
        <v>246</v>
      </c>
      <c r="B149" s="20" t="s">
        <v>16</v>
      </c>
      <c r="C149" s="21" t="s">
        <v>67</v>
      </c>
      <c r="D149" s="22">
        <v>1000</v>
      </c>
      <c r="E149" s="23">
        <v>18</v>
      </c>
      <c r="F149" s="24">
        <f t="shared" si="14"/>
        <v>1.7999999999999999E-2</v>
      </c>
    </row>
    <row r="150" spans="1:6" ht="20.25" thickTop="1" thickBot="1" x14ac:dyDescent="0.35">
      <c r="A150" s="19">
        <f t="shared" si="13"/>
        <v>247</v>
      </c>
      <c r="B150" s="14"/>
      <c r="C150" s="15"/>
      <c r="D150" s="15"/>
      <c r="E150" s="17"/>
      <c r="F150" s="18"/>
    </row>
    <row r="151" spans="1:6" ht="20.25" thickTop="1" thickBot="1" x14ac:dyDescent="0.35">
      <c r="A151" s="19">
        <f t="shared" si="13"/>
        <v>248</v>
      </c>
      <c r="B151" s="20" t="s">
        <v>17</v>
      </c>
      <c r="C151" s="21" t="s">
        <v>4</v>
      </c>
      <c r="D151" s="22">
        <v>1000</v>
      </c>
      <c r="E151" s="23">
        <v>2.5</v>
      </c>
      <c r="F151" s="24">
        <f t="shared" si="14"/>
        <v>2.5000000000000001E-3</v>
      </c>
    </row>
    <row r="152" spans="1:6" ht="20.25" thickTop="1" thickBot="1" x14ac:dyDescent="0.35">
      <c r="A152" s="19">
        <f t="shared" si="13"/>
        <v>249</v>
      </c>
      <c r="B152" s="14" t="s">
        <v>19</v>
      </c>
      <c r="C152" s="15" t="s">
        <v>4</v>
      </c>
      <c r="D152" s="16">
        <v>1304</v>
      </c>
      <c r="E152" s="17">
        <v>22.17</v>
      </c>
      <c r="F152" s="18">
        <f t="shared" si="14"/>
        <v>1.7001533742331289E-2</v>
      </c>
    </row>
    <row r="153" spans="1:6" ht="20.25" thickTop="1" thickBot="1" x14ac:dyDescent="0.35">
      <c r="A153" s="19">
        <f t="shared" si="13"/>
        <v>250</v>
      </c>
      <c r="B153" s="20"/>
      <c r="C153" s="21" t="s">
        <v>41</v>
      </c>
      <c r="D153" s="22">
        <v>1000</v>
      </c>
      <c r="E153" s="23">
        <v>50</v>
      </c>
      <c r="F153" s="24">
        <f t="shared" si="14"/>
        <v>0.05</v>
      </c>
    </row>
    <row r="154" spans="1:6" ht="20.25" thickTop="1" thickBot="1" x14ac:dyDescent="0.35">
      <c r="A154" s="41">
        <v>249</v>
      </c>
      <c r="B154" s="42" t="s">
        <v>138</v>
      </c>
      <c r="C154" s="21" t="s">
        <v>41</v>
      </c>
      <c r="D154" s="43">
        <v>1000</v>
      </c>
      <c r="E154" s="45">
        <v>156</v>
      </c>
      <c r="F154" s="44">
        <f t="shared" ref="F154:F159" si="15">IFERROR(E154/D154,"")</f>
        <v>0.156</v>
      </c>
    </row>
    <row r="155" spans="1:6" ht="20.25" thickTop="1" thickBot="1" x14ac:dyDescent="0.35">
      <c r="A155" s="41">
        <v>250</v>
      </c>
      <c r="B155" s="42" t="s">
        <v>280</v>
      </c>
      <c r="C155" s="48" t="s">
        <v>31</v>
      </c>
      <c r="D155" s="43">
        <v>50</v>
      </c>
      <c r="E155" s="43">
        <v>4.8899999999999997</v>
      </c>
      <c r="F155" s="44">
        <f t="shared" si="15"/>
        <v>9.7799999999999998E-2</v>
      </c>
    </row>
    <row r="156" spans="1:6" ht="20.25" thickTop="1" thickBot="1" x14ac:dyDescent="0.35">
      <c r="A156" s="54">
        <v>251</v>
      </c>
      <c r="B156" s="55" t="s">
        <v>257</v>
      </c>
      <c r="C156" s="48" t="s">
        <v>36</v>
      </c>
      <c r="D156" s="56">
        <v>500</v>
      </c>
      <c r="E156" s="56">
        <v>2.99</v>
      </c>
      <c r="F156" s="57">
        <f t="shared" si="15"/>
        <v>5.9800000000000001E-3</v>
      </c>
    </row>
    <row r="157" spans="1:6" ht="20.25" thickTop="1" thickBot="1" x14ac:dyDescent="0.35">
      <c r="A157" s="54">
        <v>252</v>
      </c>
      <c r="B157" s="55"/>
      <c r="C157" s="48"/>
      <c r="D157" s="56"/>
      <c r="E157" s="56"/>
      <c r="F157" s="57"/>
    </row>
    <row r="158" spans="1:6" ht="20.25" thickTop="1" thickBot="1" x14ac:dyDescent="0.35">
      <c r="A158" s="54">
        <v>253</v>
      </c>
      <c r="B158" s="55" t="s">
        <v>261</v>
      </c>
      <c r="C158" s="48" t="s">
        <v>4</v>
      </c>
      <c r="D158" s="56">
        <v>500</v>
      </c>
      <c r="E158" s="56">
        <v>3.49</v>
      </c>
      <c r="F158" s="57">
        <f t="shared" si="15"/>
        <v>6.9800000000000001E-3</v>
      </c>
    </row>
    <row r="159" spans="1:6" ht="19.5" thickTop="1" x14ac:dyDescent="0.3">
      <c r="A159" s="54">
        <v>254</v>
      </c>
      <c r="B159" s="55" t="s">
        <v>262</v>
      </c>
      <c r="C159" s="48" t="s">
        <v>4</v>
      </c>
      <c r="D159" s="56">
        <v>800</v>
      </c>
      <c r="E159" s="56">
        <v>44.65</v>
      </c>
      <c r="F159" s="57">
        <f t="shared" si="15"/>
        <v>5.5812500000000001E-2</v>
      </c>
    </row>
    <row r="160" spans="1:6" ht="15" x14ac:dyDescent="0.25">
      <c r="A160" s="88"/>
      <c r="C160"/>
      <c r="D160"/>
      <c r="E160"/>
      <c r="F160"/>
    </row>
    <row r="161" spans="1:6" ht="15" x14ac:dyDescent="0.25">
      <c r="A161"/>
      <c r="C161"/>
      <c r="D161"/>
      <c r="E161"/>
      <c r="F161"/>
    </row>
    <row r="162" spans="1:6" ht="15" x14ac:dyDescent="0.25">
      <c r="A162"/>
      <c r="C162"/>
      <c r="D162"/>
      <c r="E162"/>
      <c r="F162"/>
    </row>
    <row r="163" spans="1:6" ht="15" x14ac:dyDescent="0.25">
      <c r="A163"/>
      <c r="C163"/>
      <c r="D163"/>
      <c r="E163"/>
      <c r="F163"/>
    </row>
    <row r="164" spans="1:6" ht="15" x14ac:dyDescent="0.25">
      <c r="A164"/>
      <c r="C164"/>
      <c r="D164"/>
      <c r="E164"/>
      <c r="F164"/>
    </row>
    <row r="165" spans="1:6" ht="15" x14ac:dyDescent="0.25">
      <c r="A165"/>
      <c r="C165"/>
      <c r="D165"/>
      <c r="E165"/>
      <c r="F165"/>
    </row>
    <row r="166" spans="1:6" ht="15" x14ac:dyDescent="0.25">
      <c r="A166"/>
      <c r="C166"/>
      <c r="D166"/>
      <c r="E166"/>
      <c r="F166"/>
    </row>
    <row r="167" spans="1:6" ht="15" x14ac:dyDescent="0.25">
      <c r="A167"/>
      <c r="C167"/>
      <c r="D167"/>
      <c r="E167"/>
      <c r="F167"/>
    </row>
    <row r="168" spans="1:6" ht="15" x14ac:dyDescent="0.25">
      <c r="A168"/>
      <c r="C168"/>
      <c r="D168"/>
      <c r="E168"/>
      <c r="F168"/>
    </row>
    <row r="169" spans="1:6" ht="15" x14ac:dyDescent="0.25">
      <c r="A169"/>
      <c r="C169"/>
      <c r="D169"/>
      <c r="E169"/>
      <c r="F169"/>
    </row>
    <row r="170" spans="1:6" ht="15" x14ac:dyDescent="0.25">
      <c r="A170"/>
      <c r="C170"/>
      <c r="D170"/>
      <c r="E170"/>
      <c r="F170"/>
    </row>
    <row r="171" spans="1:6" ht="15" x14ac:dyDescent="0.25">
      <c r="A171"/>
      <c r="C171"/>
      <c r="D171"/>
      <c r="E171"/>
      <c r="F171"/>
    </row>
    <row r="172" spans="1:6" ht="15" x14ac:dyDescent="0.25">
      <c r="A172"/>
      <c r="C172"/>
      <c r="D172"/>
      <c r="E172"/>
      <c r="F172"/>
    </row>
    <row r="173" spans="1:6" ht="15" x14ac:dyDescent="0.25">
      <c r="A173"/>
      <c r="C173"/>
      <c r="D173"/>
      <c r="E173"/>
      <c r="F173"/>
    </row>
    <row r="174" spans="1:6" ht="15" x14ac:dyDescent="0.25">
      <c r="A174"/>
      <c r="C174"/>
      <c r="D174"/>
      <c r="E174"/>
      <c r="F174"/>
    </row>
    <row r="175" spans="1:6" ht="15" x14ac:dyDescent="0.25">
      <c r="A175"/>
      <c r="C175"/>
      <c r="D175"/>
      <c r="E175"/>
      <c r="F175"/>
    </row>
    <row r="176" spans="1:6" ht="15" x14ac:dyDescent="0.25">
      <c r="A176"/>
      <c r="C176"/>
      <c r="D176"/>
      <c r="E176"/>
      <c r="F176"/>
    </row>
  </sheetData>
  <sortState ref="A5:F128">
    <sortCondition ref="B5"/>
  </sortState>
  <mergeCells count="5">
    <mergeCell ref="A1:B1"/>
    <mergeCell ref="C1:F1"/>
    <mergeCell ref="A2:B2"/>
    <mergeCell ref="A3:F3"/>
    <mergeCell ref="C2:D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abSelected="1" topLeftCell="A5" workbookViewId="0">
      <selection activeCell="G5" sqref="G5:H5"/>
    </sheetView>
  </sheetViews>
  <sheetFormatPr defaultRowHeight="15.75" x14ac:dyDescent="0.25"/>
  <cols>
    <col min="1" max="1" width="10.5703125" style="30" customWidth="1"/>
    <col min="2" max="2" width="16.28515625" style="30" customWidth="1"/>
    <col min="3" max="3" width="18.42578125" style="30" customWidth="1"/>
    <col min="4" max="4" width="12.140625" style="31" bestFit="1" customWidth="1"/>
    <col min="5" max="5" width="13.140625" style="32" customWidth="1"/>
    <col min="6" max="6" width="9.85546875" style="30" bestFit="1" customWidth="1"/>
    <col min="7" max="7" width="11.28515625" style="30" customWidth="1"/>
    <col min="8" max="8" width="15.85546875" style="30" bestFit="1" customWidth="1"/>
  </cols>
  <sheetData>
    <row r="1" spans="1:16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4.7896000000000001</v>
      </c>
      <c r="F1" s="198"/>
      <c r="G1" s="198" t="s">
        <v>148</v>
      </c>
      <c r="H1" s="198"/>
      <c r="J1" s="182" t="s">
        <v>314</v>
      </c>
      <c r="K1" s="182"/>
      <c r="L1" s="182"/>
      <c r="M1" s="182"/>
      <c r="N1" s="182"/>
      <c r="P1" s="247" t="s">
        <v>317</v>
      </c>
    </row>
    <row r="2" spans="1:16" ht="20.25" thickTop="1" thickBot="1" x14ac:dyDescent="0.35">
      <c r="A2" s="198" t="s">
        <v>341</v>
      </c>
      <c r="B2" s="198"/>
      <c r="C2" s="207">
        <f>L10+L11</f>
        <v>0.2</v>
      </c>
      <c r="D2" s="207"/>
      <c r="E2" s="252" t="s">
        <v>131</v>
      </c>
      <c r="F2" s="252"/>
      <c r="G2" s="259">
        <f>IFERROR(C3/(1-C2-C5),"")</f>
        <v>9.5792000000000002</v>
      </c>
      <c r="H2" s="260"/>
      <c r="J2" s="182"/>
      <c r="K2" s="182"/>
      <c r="L2" s="182"/>
      <c r="M2" s="182"/>
      <c r="N2" s="182"/>
      <c r="P2" s="247"/>
    </row>
    <row r="3" spans="1:16" ht="17.25" thickTop="1" thickBot="1" x14ac:dyDescent="0.3">
      <c r="A3" s="197" t="s">
        <v>130</v>
      </c>
      <c r="B3" s="197"/>
      <c r="C3" s="213">
        <f>IFERROR(C7/C4,"")</f>
        <v>4.7896000000000001</v>
      </c>
      <c r="D3" s="213"/>
      <c r="E3" s="252" t="s">
        <v>284</v>
      </c>
      <c r="F3" s="252"/>
      <c r="G3" s="212">
        <f>G2*C5</f>
        <v>2.8737599999999999</v>
      </c>
      <c r="H3" s="253"/>
      <c r="J3" s="182"/>
      <c r="K3" s="182"/>
      <c r="L3" s="182"/>
      <c r="M3" s="182"/>
      <c r="N3" s="182"/>
      <c r="P3" s="247"/>
    </row>
    <row r="4" spans="1:16" ht="20.25" thickTop="1" thickBot="1" x14ac:dyDescent="0.35">
      <c r="A4" s="200" t="s">
        <v>129</v>
      </c>
      <c r="B4" s="201"/>
      <c r="C4" s="251">
        <v>6</v>
      </c>
      <c r="D4" s="251"/>
      <c r="E4" s="199" t="s">
        <v>342</v>
      </c>
      <c r="F4" s="199"/>
      <c r="G4" s="259">
        <f>G2</f>
        <v>9.5792000000000002</v>
      </c>
      <c r="H4" s="259"/>
      <c r="L4" s="40">
        <f>C7</f>
        <v>28.7376</v>
      </c>
      <c r="P4" s="247"/>
    </row>
    <row r="5" spans="1:16" ht="20.25" thickTop="1" thickBot="1" x14ac:dyDescent="0.35">
      <c r="A5" s="198" t="s">
        <v>128</v>
      </c>
      <c r="B5" s="198"/>
      <c r="C5" s="208">
        <f>L12</f>
        <v>0.3</v>
      </c>
      <c r="D5" s="208"/>
      <c r="E5" s="199" t="s">
        <v>283</v>
      </c>
      <c r="F5" s="199"/>
      <c r="G5" s="209">
        <f>1-C3/G4-C2</f>
        <v>0.3</v>
      </c>
      <c r="H5" s="210"/>
      <c r="J5" t="s">
        <v>315</v>
      </c>
      <c r="P5" s="247"/>
    </row>
    <row r="6" spans="1:16" ht="17.25" thickTop="1" thickBot="1" x14ac:dyDescent="0.3">
      <c r="A6" s="200" t="s">
        <v>340</v>
      </c>
      <c r="B6" s="224"/>
      <c r="C6" s="224"/>
      <c r="D6" s="201"/>
      <c r="E6" s="261">
        <f>C3/(1-C2)</f>
        <v>5.9870000000000001</v>
      </c>
      <c r="F6" s="262"/>
      <c r="G6" s="262"/>
      <c r="H6" s="263"/>
      <c r="P6" s="247"/>
    </row>
    <row r="7" spans="1:16" ht="17.25" thickTop="1" thickBot="1" x14ac:dyDescent="0.3">
      <c r="A7" s="198" t="s">
        <v>11</v>
      </c>
      <c r="B7" s="198"/>
      <c r="C7" s="243">
        <f>H29</f>
        <v>28.7376</v>
      </c>
      <c r="D7" s="244"/>
      <c r="E7" s="204" t="s">
        <v>283</v>
      </c>
      <c r="F7" s="204"/>
      <c r="G7" s="213">
        <f>G5*G4</f>
        <v>2.8737599999999999</v>
      </c>
      <c r="H7" s="216"/>
      <c r="L7">
        <f>C4</f>
        <v>6</v>
      </c>
      <c r="P7" s="247"/>
    </row>
    <row r="8" spans="1:16" ht="17.25" thickTop="1" thickBot="1" x14ac:dyDescent="0.3">
      <c r="A8" s="39" t="s">
        <v>5</v>
      </c>
      <c r="B8" s="195" t="s">
        <v>9</v>
      </c>
      <c r="C8" s="196"/>
      <c r="D8" s="39" t="s">
        <v>6</v>
      </c>
      <c r="E8" s="26" t="s">
        <v>8</v>
      </c>
      <c r="F8" s="194" t="s">
        <v>7</v>
      </c>
      <c r="G8" s="194"/>
      <c r="H8" s="26" t="s">
        <v>123</v>
      </c>
      <c r="J8" s="245" t="s">
        <v>316</v>
      </c>
      <c r="K8" s="246"/>
      <c r="L8" s="246"/>
      <c r="M8" s="246"/>
      <c r="N8" s="246"/>
      <c r="O8" s="246"/>
      <c r="P8" s="247"/>
    </row>
    <row r="9" spans="1:16" ht="20.25" thickTop="1" thickBot="1" x14ac:dyDescent="0.35">
      <c r="A9" s="33">
        <v>102</v>
      </c>
      <c r="B9" s="190" t="str">
        <f>IFERROR(VLOOKUP(A9,ListaIngredientes!$A$5:$F$155,2,FALSE),"")</f>
        <v>Ovos Branco</v>
      </c>
      <c r="C9" s="191"/>
      <c r="D9" s="35" t="str">
        <f>IFERROR(VLOOKUP(A9,Tabela2[],3,FALSE),"")</f>
        <v>duzia</v>
      </c>
      <c r="E9" s="36">
        <v>12</v>
      </c>
      <c r="F9" s="192">
        <f>IFERROR(VLOOKUP(A9,ListaIngredientes!$A$5:$F$155,6,FALSE),"")</f>
        <v>1.6666666666666667</v>
      </c>
      <c r="G9" s="192"/>
      <c r="H9" s="34">
        <f>IFERROR(E9*F9,"")</f>
        <v>20</v>
      </c>
      <c r="L9" s="248">
        <f>L4/L7</f>
        <v>4.7896000000000001</v>
      </c>
      <c r="P9" s="247"/>
    </row>
    <row r="10" spans="1:16" ht="20.25" thickTop="1" thickBot="1" x14ac:dyDescent="0.35">
      <c r="A10" s="33">
        <v>103</v>
      </c>
      <c r="B10" s="190" t="str">
        <f>IFERROR(VLOOKUP(A10,ListaIngredientes!$A$5:$F$155,2,FALSE),"")</f>
        <v>Leite condensado</v>
      </c>
      <c r="C10" s="191"/>
      <c r="D10" s="35" t="str">
        <f>IFERROR(VLOOKUP(A10,Tabela2[],3,FALSE),"")</f>
        <v>ml</v>
      </c>
      <c r="E10" s="36">
        <v>50</v>
      </c>
      <c r="F10" s="192">
        <f>IFERROR(VLOOKUP(A10,ListaIngredientes!$A$5:$F$155,6,FALSE),"")</f>
        <v>4.4999999999999998E-2</v>
      </c>
      <c r="G10" s="192"/>
      <c r="H10" s="34">
        <f t="shared" ref="H10:H28" si="0">IFERROR(E10*F10,"")</f>
        <v>2.25</v>
      </c>
      <c r="J10" t="s">
        <v>282</v>
      </c>
      <c r="L10" s="250">
        <v>0.12</v>
      </c>
      <c r="M10" s="254" t="s">
        <v>319</v>
      </c>
      <c r="N10" s="254"/>
      <c r="O10" s="254"/>
      <c r="P10" s="254"/>
    </row>
    <row r="11" spans="1:16" ht="20.25" thickTop="1" thickBot="1" x14ac:dyDescent="0.35">
      <c r="A11" s="33">
        <v>104</v>
      </c>
      <c r="B11" s="190" t="str">
        <f>IFERROR(VLOOKUP(A11,ListaIngredientes!$A$5:$F$155,2,FALSE),"")</f>
        <v>Leite Integral</v>
      </c>
      <c r="C11" s="191"/>
      <c r="D11" s="35" t="str">
        <f>IFERROR(VLOOKUP(A11,Tabela2[],3,FALSE),"")</f>
        <v>ml</v>
      </c>
      <c r="E11" s="36">
        <v>225</v>
      </c>
      <c r="F11" s="192">
        <f>IFERROR(VLOOKUP(A11,ListaIngredientes!$A$5:$F$155,6,FALSE),"")</f>
        <v>1.2E-2</v>
      </c>
      <c r="G11" s="192"/>
      <c r="H11" s="34">
        <f t="shared" si="0"/>
        <v>2.7</v>
      </c>
      <c r="J11" s="182" t="s">
        <v>318</v>
      </c>
      <c r="K11" s="182"/>
      <c r="L11" s="250">
        <v>0.08</v>
      </c>
      <c r="M11" s="254"/>
      <c r="N11" s="254"/>
      <c r="O11" s="254"/>
      <c r="P11" s="254"/>
    </row>
    <row r="12" spans="1:16" ht="20.25" thickTop="1" thickBot="1" x14ac:dyDescent="0.35">
      <c r="A12" s="33">
        <v>105</v>
      </c>
      <c r="B12" s="190" t="str">
        <f>IFERROR(VLOOKUP(A12,ListaIngredientes!$A$5:$F$155,2,FALSE),"")</f>
        <v>Bananas</v>
      </c>
      <c r="C12" s="191"/>
      <c r="D12" s="35" t="str">
        <f>IFERROR(VLOOKUP(A12,Tabela2[],3,FALSE),"")</f>
        <v>duzias</v>
      </c>
      <c r="E12" s="36">
        <v>6</v>
      </c>
      <c r="F12" s="192">
        <f>IFERROR(VLOOKUP(A12,ListaIngredientes!$A$5:$F$155,6,FALSE),"")</f>
        <v>0.5</v>
      </c>
      <c r="G12" s="192"/>
      <c r="H12" s="34">
        <f t="shared" si="0"/>
        <v>3</v>
      </c>
      <c r="J12" s="182" t="s">
        <v>320</v>
      </c>
      <c r="K12" s="182"/>
      <c r="L12" s="250">
        <v>0.3</v>
      </c>
      <c r="M12" t="s">
        <v>335</v>
      </c>
    </row>
    <row r="13" spans="1:16" ht="20.25" thickTop="1" thickBot="1" x14ac:dyDescent="0.35">
      <c r="A13" s="33">
        <v>106</v>
      </c>
      <c r="B13" s="190" t="str">
        <f>IFERROR(VLOOKUP(A13,ListaIngredientes!$A$5:$F$155,2,FALSE),"")</f>
        <v>Colorau</v>
      </c>
      <c r="C13" s="191"/>
      <c r="D13" s="35" t="str">
        <f>IFERROR(VLOOKUP(A13,Tabela2[],3,FALSE),"")</f>
        <v>g</v>
      </c>
      <c r="E13" s="36">
        <v>30</v>
      </c>
      <c r="F13" s="192">
        <f>IFERROR(VLOOKUP(A13,ListaIngredientes!$A$5:$F$155,6,FALSE),"")</f>
        <v>0.02</v>
      </c>
      <c r="G13" s="192"/>
      <c r="H13" s="34">
        <f t="shared" si="0"/>
        <v>0.6</v>
      </c>
      <c r="J13" s="182" t="s">
        <v>124</v>
      </c>
      <c r="K13" s="182"/>
      <c r="L13" s="255">
        <f>SUM(L10:L12)</f>
        <v>0.5</v>
      </c>
    </row>
    <row r="14" spans="1:16" ht="20.25" thickTop="1" thickBot="1" x14ac:dyDescent="0.35">
      <c r="A14" s="33">
        <v>107</v>
      </c>
      <c r="B14" s="190" t="str">
        <f>IFERROR(VLOOKUP(A14,ListaIngredientes!$A$5:$F$155,2,FALSE),"")</f>
        <v>Agua mineral</v>
      </c>
      <c r="C14" s="191"/>
      <c r="D14" s="35" t="str">
        <f>IFERROR(VLOOKUP(A14,Tabela2[],3,FALSE),"")</f>
        <v>ml</v>
      </c>
      <c r="E14" s="36">
        <v>4</v>
      </c>
      <c r="F14" s="192">
        <f>IFERROR(VLOOKUP(A14,ListaIngredientes!$A$5:$F$155,6,FALSE),"")</f>
        <v>4.6899999999999997E-2</v>
      </c>
      <c r="G14" s="192"/>
      <c r="H14" s="34">
        <f t="shared" si="0"/>
        <v>0.18759999999999999</v>
      </c>
      <c r="J14" s="182" t="s">
        <v>321</v>
      </c>
      <c r="K14" s="182"/>
      <c r="L14" s="182"/>
      <c r="M14" s="182"/>
      <c r="N14" s="182"/>
      <c r="O14" s="182"/>
      <c r="P14" s="182"/>
    </row>
    <row r="15" spans="1:16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  <c r="J15" s="182"/>
      <c r="K15" s="182"/>
      <c r="L15" s="182"/>
      <c r="M15" s="182"/>
      <c r="N15" s="182"/>
      <c r="O15" s="182"/>
      <c r="P15" s="182"/>
    </row>
    <row r="16" spans="1:16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  <c r="J16" t="s">
        <v>322</v>
      </c>
      <c r="K16" s="256" t="s">
        <v>323</v>
      </c>
    </row>
    <row r="17" spans="1:15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  <c r="K17" s="40">
        <f>L9/(1-L13)</f>
        <v>9.5792000000000002</v>
      </c>
      <c r="O17" t="s">
        <v>327</v>
      </c>
    </row>
    <row r="18" spans="1:15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  <c r="J18" t="s">
        <v>324</v>
      </c>
      <c r="O18" t="s">
        <v>328</v>
      </c>
    </row>
    <row r="19" spans="1:15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  <c r="J19" t="s">
        <v>325</v>
      </c>
      <c r="N19" s="257">
        <f>N23</f>
        <v>5.9870000000000001</v>
      </c>
    </row>
    <row r="20" spans="1:15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  <c r="J20" t="s">
        <v>322</v>
      </c>
      <c r="K20" s="182" t="s">
        <v>326</v>
      </c>
      <c r="L20" s="182"/>
      <c r="M20" s="182"/>
    </row>
    <row r="21" spans="1:15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  <c r="K21" s="115">
        <f>1-L9/N19-L10-L11</f>
        <v>0</v>
      </c>
    </row>
    <row r="22" spans="1:15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  <c r="J22" s="182" t="s">
        <v>329</v>
      </c>
      <c r="K22" s="182"/>
      <c r="L22" s="182"/>
      <c r="M22" s="182"/>
      <c r="N22" s="182"/>
    </row>
    <row r="23" spans="1:15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  <c r="J23" t="s">
        <v>330</v>
      </c>
      <c r="K23" s="250">
        <f>L10</f>
        <v>0.12</v>
      </c>
      <c r="L23" s="40">
        <f>K23*$K$17</f>
        <v>1.1495040000000001</v>
      </c>
      <c r="M23" t="s">
        <v>290</v>
      </c>
      <c r="N23" s="40">
        <f>L25/(1-K23-K24)</f>
        <v>5.9870000000000001</v>
      </c>
    </row>
    <row r="24" spans="1:15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  <c r="J24" t="s">
        <v>331</v>
      </c>
      <c r="K24" s="250">
        <f>L11</f>
        <v>0.08</v>
      </c>
      <c r="L24" s="40">
        <f>K24*$K$17</f>
        <v>0.76633600000000002</v>
      </c>
      <c r="M24" s="256" t="s">
        <v>333</v>
      </c>
      <c r="O24" t="s">
        <v>334</v>
      </c>
    </row>
    <row r="25" spans="1:15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  <c r="J25" t="s">
        <v>332</v>
      </c>
      <c r="K25" s="115">
        <f>L25/K17</f>
        <v>0.5</v>
      </c>
      <c r="L25" s="258">
        <f>L9</f>
        <v>4.7896000000000001</v>
      </c>
    </row>
    <row r="26" spans="1:15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  <c r="J26" t="s">
        <v>32</v>
      </c>
      <c r="K26" s="249">
        <v>0.2</v>
      </c>
      <c r="L26" s="40">
        <f>K26*$K$17</f>
        <v>1.9158400000000002</v>
      </c>
    </row>
    <row r="27" spans="1:15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  <c r="J27" t="s">
        <v>336</v>
      </c>
    </row>
    <row r="28" spans="1:15" ht="20.25" thickTop="1" thickBot="1" x14ac:dyDescent="0.35">
      <c r="A28" s="33"/>
      <c r="B28" s="190" t="str">
        <f>IFERROR(VLOOKUP(A28,ListaIngredientes!$A$5:$F$155,2,FALSE),"")</f>
        <v/>
      </c>
      <c r="C28" s="191"/>
      <c r="D28" s="35" t="str">
        <f>IFERROR(VLOOKUP(A28,Tabela2[],3,FALSE),"")</f>
        <v/>
      </c>
      <c r="E28" s="36"/>
      <c r="F28" s="192" t="str">
        <f>IFERROR(VLOOKUP(A28,ListaIngredientes!$A$5:$F$155,6,FALSE),"")</f>
        <v/>
      </c>
      <c r="G28" s="192"/>
      <c r="H28" s="34" t="str">
        <f t="shared" si="0"/>
        <v/>
      </c>
      <c r="K28" s="182" t="s">
        <v>337</v>
      </c>
      <c r="L28" s="182"/>
      <c r="M28" s="182"/>
    </row>
    <row r="29" spans="1:15" ht="20.25" thickTop="1" thickBot="1" x14ac:dyDescent="0.35">
      <c r="A29" s="27"/>
      <c r="B29" s="27"/>
      <c r="C29" s="27"/>
      <c r="D29" s="28"/>
      <c r="E29" s="29"/>
      <c r="F29" s="193" t="s">
        <v>124</v>
      </c>
      <c r="G29" s="193"/>
      <c r="H29" s="34">
        <f>SUM(H9:H28)</f>
        <v>28.7376</v>
      </c>
      <c r="J29" t="s">
        <v>338</v>
      </c>
      <c r="M29" s="40">
        <f>K17</f>
        <v>9.5792000000000002</v>
      </c>
    </row>
    <row r="30" spans="1:15" ht="16.5" thickTop="1" x14ac:dyDescent="0.25">
      <c r="J30" t="s">
        <v>339</v>
      </c>
      <c r="M30" s="40">
        <f>-L9</f>
        <v>-4.7896000000000001</v>
      </c>
    </row>
    <row r="31" spans="1:15" x14ac:dyDescent="0.25">
      <c r="J31" t="s">
        <v>330</v>
      </c>
      <c r="L31" s="115">
        <f>L10</f>
        <v>0.12</v>
      </c>
      <c r="M31" s="40">
        <f>-L31*M29</f>
        <v>-1.1495040000000001</v>
      </c>
    </row>
    <row r="32" spans="1:15" x14ac:dyDescent="0.25">
      <c r="J32" t="s">
        <v>331</v>
      </c>
      <c r="L32" s="115">
        <f>L11</f>
        <v>0.08</v>
      </c>
      <c r="M32" s="40">
        <f>-L32*M29</f>
        <v>-0.76633600000000002</v>
      </c>
    </row>
    <row r="34" spans="10:14" x14ac:dyDescent="0.25">
      <c r="J34" t="s">
        <v>320</v>
      </c>
      <c r="M34" s="40">
        <f>SUM(M29:M33)</f>
        <v>2.8737599999999999</v>
      </c>
      <c r="N34" s="115">
        <f>M34/M29</f>
        <v>0.3</v>
      </c>
    </row>
  </sheetData>
  <mergeCells count="79">
    <mergeCell ref="K28:M28"/>
    <mergeCell ref="A6:D6"/>
    <mergeCell ref="E6:H6"/>
    <mergeCell ref="J12:K12"/>
    <mergeCell ref="J13:K13"/>
    <mergeCell ref="J14:P15"/>
    <mergeCell ref="K20:M20"/>
    <mergeCell ref="J22:N22"/>
    <mergeCell ref="J1:N3"/>
    <mergeCell ref="J8:O8"/>
    <mergeCell ref="P1:P9"/>
    <mergeCell ref="J11:K11"/>
    <mergeCell ref="M10:P11"/>
    <mergeCell ref="C1:D1"/>
    <mergeCell ref="E1:F1"/>
    <mergeCell ref="G1:H1"/>
    <mergeCell ref="C2:D2"/>
    <mergeCell ref="C5:D5"/>
    <mergeCell ref="E5:F5"/>
    <mergeCell ref="G5:H5"/>
    <mergeCell ref="C4:D4"/>
    <mergeCell ref="C3:D3"/>
    <mergeCell ref="E2:F2"/>
    <mergeCell ref="G2:H2"/>
    <mergeCell ref="G3:H3"/>
    <mergeCell ref="A2:B2"/>
    <mergeCell ref="E4:F4"/>
    <mergeCell ref="A5:B5"/>
    <mergeCell ref="A7:B7"/>
    <mergeCell ref="A4:B4"/>
    <mergeCell ref="E3:F3"/>
    <mergeCell ref="E7:F7"/>
    <mergeCell ref="C7:D7"/>
    <mergeCell ref="F15:G15"/>
    <mergeCell ref="F16:G16"/>
    <mergeCell ref="B8:C8"/>
    <mergeCell ref="B9:C9"/>
    <mergeCell ref="A3:B3"/>
    <mergeCell ref="G4:H4"/>
    <mergeCell ref="G7:H7"/>
    <mergeCell ref="F8:G8"/>
    <mergeCell ref="F9:G9"/>
    <mergeCell ref="F11:G11"/>
    <mergeCell ref="F12:G12"/>
    <mergeCell ref="F14:G14"/>
    <mergeCell ref="F29:G29"/>
    <mergeCell ref="F24:G24"/>
    <mergeCell ref="F25:G25"/>
    <mergeCell ref="F21:G21"/>
    <mergeCell ref="F22:G22"/>
    <mergeCell ref="F23:G23"/>
    <mergeCell ref="F26:G26"/>
    <mergeCell ref="F27:G27"/>
    <mergeCell ref="F28:G28"/>
    <mergeCell ref="B27:C27"/>
    <mergeCell ref="B28:C28"/>
    <mergeCell ref="B20:C20"/>
    <mergeCell ref="B21:C21"/>
    <mergeCell ref="B22:C22"/>
    <mergeCell ref="B23:C23"/>
    <mergeCell ref="B24:C24"/>
    <mergeCell ref="B25:C25"/>
    <mergeCell ref="B26:C26"/>
    <mergeCell ref="B13:C13"/>
    <mergeCell ref="F20:G20"/>
    <mergeCell ref="F13:G13"/>
    <mergeCell ref="B10:C10"/>
    <mergeCell ref="B11:C11"/>
    <mergeCell ref="B12:C12"/>
    <mergeCell ref="B19:C19"/>
    <mergeCell ref="B14:C14"/>
    <mergeCell ref="B15:C15"/>
    <mergeCell ref="B16:C16"/>
    <mergeCell ref="B17:C17"/>
    <mergeCell ref="B18:C18"/>
    <mergeCell ref="F17:G17"/>
    <mergeCell ref="F18:G18"/>
    <mergeCell ref="F19:G19"/>
    <mergeCell ref="F10:G10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>
      <selection activeCell="C5" sqref="C5:D5"/>
    </sheetView>
  </sheetViews>
  <sheetFormatPr defaultRowHeight="15" x14ac:dyDescent="0.25"/>
  <cols>
    <col min="3" max="3" width="15.5703125" customWidth="1"/>
    <col min="4" max="4" width="11" customWidth="1"/>
    <col min="5" max="5" width="12.5703125" bestFit="1" customWidth="1"/>
    <col min="6" max="6" width="10.5703125" bestFit="1" customWidth="1"/>
    <col min="8" max="8" width="15.5703125" customWidth="1"/>
  </cols>
  <sheetData>
    <row r="1" spans="1:8" ht="17.25" thickTop="1" thickBot="1" x14ac:dyDescent="0.3">
      <c r="A1" s="70" t="s">
        <v>202</v>
      </c>
      <c r="B1" s="106">
        <v>502</v>
      </c>
      <c r="C1" s="205" t="str">
        <f>VLOOKUP(B1,PRODUTOS!$A$7:$E$204,2,FALSE)</f>
        <v>BOLO GELADO ABACAXI</v>
      </c>
      <c r="D1" s="205"/>
      <c r="E1" s="206">
        <f>C3</f>
        <v>99.690994509803929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332.30331503267973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99.690994509803929</v>
      </c>
      <c r="D3" s="213"/>
      <c r="E3" s="202" t="s">
        <v>284</v>
      </c>
      <c r="F3" s="202"/>
      <c r="G3" s="213">
        <f>G2*C5</f>
        <v>166.15165751633987</v>
      </c>
      <c r="H3" s="216"/>
    </row>
    <row r="4" spans="1:8" ht="20.25" thickTop="1" thickBot="1" x14ac:dyDescent="0.35">
      <c r="A4" s="200" t="s">
        <v>129</v>
      </c>
      <c r="B4" s="201"/>
      <c r="C4" s="211">
        <v>6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-5.8460663006535958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598.14596705882354</v>
      </c>
      <c r="D6" s="205"/>
      <c r="E6" s="204" t="s">
        <v>283</v>
      </c>
      <c r="F6" s="204"/>
      <c r="G6" s="213">
        <f>G5*G4</f>
        <v>-87.690994509803943</v>
      </c>
      <c r="H6" s="216"/>
    </row>
    <row r="7" spans="1:8" ht="17.25" thickTop="1" thickBot="1" x14ac:dyDescent="0.3">
      <c r="A7" s="39" t="s">
        <v>5</v>
      </c>
      <c r="B7" s="195" t="s">
        <v>9</v>
      </c>
      <c r="C7" s="196"/>
      <c r="D7" s="3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6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100</v>
      </c>
      <c r="B9" s="190" t="str">
        <f>IFERROR(VLOOKUP(A9,ListaIngredientes!$A$5:$F$155,2,FALSE),"")</f>
        <v/>
      </c>
      <c r="C9" s="191"/>
      <c r="D9" s="35" t="str">
        <f>IFERROR(VLOOKUP(A9,Tabela2[],3,FALSE),"")</f>
        <v/>
      </c>
      <c r="E9" s="36">
        <v>0.5</v>
      </c>
      <c r="F9" s="192" t="str">
        <f>IFERROR(VLOOKUP(A9,ListaIngredientes!$A$5:$F$155,6,FALSE),"")</f>
        <v/>
      </c>
      <c r="G9" s="192"/>
      <c r="H9" s="34" t="str">
        <f t="shared" ref="H9:H27" si="0">IFERROR(E9*F9,"")</f>
        <v/>
      </c>
    </row>
    <row r="10" spans="1:8" ht="20.25" thickTop="1" thickBot="1" x14ac:dyDescent="0.35">
      <c r="A10" s="33">
        <v>188</v>
      </c>
      <c r="B10" s="190" t="str">
        <f>IFERROR(VLOOKUP(A10,ListaIngredientes!$A$5:$F$155,2,FALSE),"")</f>
        <v>LATA PALHA ITALIANA</v>
      </c>
      <c r="C10" s="191"/>
      <c r="D10" s="35" t="str">
        <f>IFERROR(VLOOKUP(A10,Tabela2[],3,FALSE),"")</f>
        <v>U</v>
      </c>
      <c r="E10" s="36">
        <v>350</v>
      </c>
      <c r="F10" s="217">
        <f>IFERROR(VLOOKUP(A10,ListaIngredientes!$A$5:$F$155,6,FALSE),"")</f>
        <v>1.59</v>
      </c>
      <c r="G10" s="217"/>
      <c r="H10" s="34">
        <f t="shared" si="0"/>
        <v>556.5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200</v>
      </c>
      <c r="F11" s="192">
        <f>IFERROR(VLOOKUP(A11,ListaIngredientes!$A$5:$F$155,6,FALSE),"")</f>
        <v>5.8823529411764701E-4</v>
      </c>
      <c r="G11" s="192"/>
      <c r="H11" s="34">
        <f t="shared" si="0"/>
        <v>0.1176470588235294</v>
      </c>
    </row>
    <row r="12" spans="1:8" ht="20.25" thickTop="1" thickBot="1" x14ac:dyDescent="0.35">
      <c r="A12" s="33">
        <v>126</v>
      </c>
      <c r="B12" s="190" t="str">
        <f>IFERROR(VLOOKUP(A12,ListaIngredientes!$A$5:$F$155,2,FALSE),"")</f>
        <v>CHOCOLTE BRANCO</v>
      </c>
      <c r="C12" s="191"/>
      <c r="D12" s="35" t="str">
        <f>IFERROR(VLOOKUP(A12,Tabela2[],3,FALSE),"")</f>
        <v>KG</v>
      </c>
      <c r="E12" s="36">
        <v>110</v>
      </c>
      <c r="F12" s="192">
        <f>IFERROR(VLOOKUP(A12,ListaIngredientes!$A$5:$F$155,6,FALSE),"")</f>
        <v>0.159</v>
      </c>
      <c r="G12" s="192"/>
      <c r="H12" s="34">
        <f t="shared" si="0"/>
        <v>17.490000000000002</v>
      </c>
    </row>
    <row r="13" spans="1:8" ht="20.25" thickTop="1" thickBot="1" x14ac:dyDescent="0.35">
      <c r="A13" s="33">
        <v>203</v>
      </c>
      <c r="B13" s="190">
        <f>IFERROR(VLOOKUP(A13,ListaIngredientes!$A$5:$F$155,2,FALSE),"")</f>
        <v>0</v>
      </c>
      <c r="C13" s="191"/>
      <c r="D13" s="35">
        <f>IFERROR(VLOOKUP(A13,Tabela2[],3,FALSE),"")</f>
        <v>0</v>
      </c>
      <c r="E13" s="36">
        <v>3</v>
      </c>
      <c r="F13" s="192">
        <f>IFERROR(VLOOKUP(A13,ListaIngredientes!$A$5:$F$155,6,FALSE),"")</f>
        <v>0</v>
      </c>
      <c r="G13" s="192"/>
      <c r="H13" s="34">
        <f t="shared" si="0"/>
        <v>0</v>
      </c>
    </row>
    <row r="14" spans="1:8" ht="20.25" thickTop="1" thickBot="1" x14ac:dyDescent="0.35">
      <c r="A14" s="33">
        <v>230</v>
      </c>
      <c r="B14" s="190">
        <f>IFERROR(VLOOKUP(A14,ListaIngredientes!$A$5:$F$155,2,FALSE),"")</f>
        <v>0</v>
      </c>
      <c r="C14" s="191"/>
      <c r="D14" s="35" t="s">
        <v>41</v>
      </c>
      <c r="E14" s="36">
        <v>105</v>
      </c>
      <c r="F14" s="192">
        <f>IFERROR(VLOOKUP(A14,ListaIngredientes!$A$5:$F$155,6,FALSE),"")</f>
        <v>0.14899999999999999</v>
      </c>
      <c r="G14" s="192"/>
      <c r="H14" s="34">
        <f t="shared" si="0"/>
        <v>15.645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">
        <v>41</v>
      </c>
      <c r="E15" s="36">
        <v>11</v>
      </c>
      <c r="F15" s="192">
        <f>IFERROR(VLOOKUP(A15,ListaIngredientes!$A$5:$F$155,6,FALSE),"")</f>
        <v>5.5119999999999995E-2</v>
      </c>
      <c r="G15" s="192"/>
      <c r="H15" s="34">
        <f t="shared" si="0"/>
        <v>0.60631999999999997</v>
      </c>
    </row>
    <row r="16" spans="1:8" ht="20.25" thickTop="1" thickBot="1" x14ac:dyDescent="0.35">
      <c r="A16" s="33">
        <v>146</v>
      </c>
      <c r="B16" s="190" t="str">
        <f>IFERROR(VLOOKUP(A16,ListaIngredientes!$A$5:$F$155,2,FALSE),"")</f>
        <v>embalagem bolo de pote</v>
      </c>
      <c r="C16" s="191"/>
      <c r="D16" s="35" t="s">
        <v>31</v>
      </c>
      <c r="E16" s="36">
        <v>6</v>
      </c>
      <c r="F16" s="192">
        <f>IFERROR(VLOOKUP(A16,ListaIngredientes!$A$5:$F$155,6,FALSE),"")</f>
        <v>0.59899999999999998</v>
      </c>
      <c r="G16" s="192"/>
      <c r="H16" s="34">
        <f t="shared" si="0"/>
        <v>3.5939999999999999</v>
      </c>
    </row>
    <row r="17" spans="1:8" ht="20.25" thickTop="1" thickBot="1" x14ac:dyDescent="0.35">
      <c r="A17" s="33">
        <v>202</v>
      </c>
      <c r="B17" s="190">
        <f>IFERROR(VLOOKUP(A17,ListaIngredientes!$A$5:$F$155,2,FALSE),"")</f>
        <v>0</v>
      </c>
      <c r="C17" s="191"/>
      <c r="D17" s="35">
        <f>IFERROR(VLOOKUP(A17,Tabela2[],3,FALSE),"")</f>
        <v>0</v>
      </c>
      <c r="E17" s="36">
        <v>50</v>
      </c>
      <c r="F17" s="192">
        <f>IFERROR(VLOOKUP(A17,ListaIngredientes!$A$5:$F$155,6,FALSE),"")</f>
        <v>0</v>
      </c>
      <c r="G17" s="192"/>
      <c r="H17" s="34">
        <f t="shared" si="0"/>
        <v>0</v>
      </c>
    </row>
    <row r="18" spans="1:8" ht="20.25" thickTop="1" thickBot="1" x14ac:dyDescent="0.35">
      <c r="A18" s="33">
        <v>156</v>
      </c>
      <c r="B18" s="190" t="str">
        <f>IFERROR(VLOOKUP(A18,ListaIngredientes!$A$5:$F$155,2,FALSE),"")</f>
        <v>embalagem quiche</v>
      </c>
      <c r="C18" s="191"/>
      <c r="D18" s="35" t="str">
        <f>IFERROR(VLOOKUP(A18,Tabela2[],3,FALSE),"")</f>
        <v>u</v>
      </c>
      <c r="E18" s="36">
        <v>7</v>
      </c>
      <c r="F18" s="192">
        <f>IFERROR(VLOOKUP(A18,ListaIngredientes!$A$5:$F$155,6,FALSE),"")</f>
        <v>0.59899999999999998</v>
      </c>
      <c r="G18" s="192"/>
      <c r="H18" s="34">
        <f t="shared" si="0"/>
        <v>4.1929999999999996</v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598.14596705882354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  <row r="31" spans="1:8" ht="15.75" x14ac:dyDescent="0.25">
      <c r="A31" s="30"/>
      <c r="B31" s="30"/>
      <c r="C31" s="30"/>
      <c r="D31" s="31"/>
      <c r="E31" s="32"/>
      <c r="F31" s="30"/>
      <c r="G31" s="30"/>
      <c r="H31" s="30"/>
    </row>
    <row r="32" spans="1:8" ht="15.75" x14ac:dyDescent="0.25">
      <c r="A32" s="30"/>
      <c r="B32" s="30"/>
      <c r="C32" s="30"/>
      <c r="D32" s="31"/>
      <c r="E32" s="32"/>
      <c r="F32" s="30"/>
      <c r="G32" s="30"/>
      <c r="H32" s="30"/>
    </row>
    <row r="33" spans="1:8" ht="15.75" x14ac:dyDescent="0.25">
      <c r="A33" s="30"/>
      <c r="B33" s="30"/>
      <c r="C33" s="30"/>
      <c r="D33" s="31"/>
      <c r="E33" s="32"/>
      <c r="F33" s="30"/>
      <c r="G33" s="30"/>
      <c r="H33" s="30"/>
    </row>
    <row r="34" spans="1:8" ht="15.75" x14ac:dyDescent="0.25">
      <c r="A34" s="30"/>
      <c r="B34" s="30"/>
      <c r="C34" s="30"/>
      <c r="D34" s="31"/>
      <c r="E34" s="32"/>
      <c r="F34" s="30"/>
      <c r="G34" s="30"/>
      <c r="H34" s="30"/>
    </row>
    <row r="35" spans="1:8" ht="15.75" x14ac:dyDescent="0.25">
      <c r="A35" s="30"/>
      <c r="B35" s="30"/>
      <c r="C35" s="30"/>
      <c r="D35" s="31"/>
      <c r="E35" s="32"/>
      <c r="F35" s="30"/>
      <c r="G35" s="30"/>
      <c r="H35" s="30"/>
    </row>
    <row r="36" spans="1:8" ht="15.75" x14ac:dyDescent="0.25">
      <c r="A36" s="30"/>
      <c r="B36" s="30"/>
      <c r="C36" s="30"/>
      <c r="D36" s="31"/>
      <c r="E36" s="32"/>
      <c r="F36" s="30"/>
      <c r="G36" s="30"/>
      <c r="H36" s="30"/>
    </row>
    <row r="37" spans="1:8" ht="15.75" x14ac:dyDescent="0.25">
      <c r="A37" s="30"/>
      <c r="B37" s="30"/>
      <c r="C37" s="30"/>
      <c r="D37" s="31"/>
      <c r="E37" s="32"/>
      <c r="F37" s="30"/>
      <c r="G37" s="30"/>
      <c r="H37" s="30"/>
    </row>
    <row r="38" spans="1:8" ht="15.75" x14ac:dyDescent="0.25">
      <c r="A38" s="30"/>
      <c r="B38" s="30"/>
      <c r="C38" s="30"/>
      <c r="D38" s="31"/>
      <c r="E38" s="32"/>
      <c r="F38" s="30"/>
      <c r="G38" s="30"/>
      <c r="H38" s="30"/>
    </row>
    <row r="39" spans="1:8" ht="15.75" x14ac:dyDescent="0.25">
      <c r="A39" s="30"/>
      <c r="B39" s="30"/>
      <c r="C39" s="30"/>
      <c r="D39" s="31"/>
      <c r="E39" s="32"/>
      <c r="F39" s="30"/>
      <c r="G39" s="30"/>
      <c r="H39" s="30"/>
    </row>
    <row r="40" spans="1:8" ht="15.75" x14ac:dyDescent="0.25">
      <c r="A40" s="30"/>
      <c r="B40" s="30"/>
      <c r="C40" s="30"/>
      <c r="D40" s="31"/>
      <c r="E40" s="32"/>
      <c r="F40" s="30"/>
      <c r="G40" s="30"/>
      <c r="H40" s="30"/>
    </row>
    <row r="41" spans="1:8" ht="15.75" x14ac:dyDescent="0.25">
      <c r="A41" s="30"/>
      <c r="B41" s="30"/>
      <c r="C41" s="30"/>
      <c r="D41" s="31"/>
      <c r="E41" s="32"/>
      <c r="F41" s="30"/>
      <c r="G41" s="30"/>
      <c r="H41" s="30"/>
    </row>
    <row r="42" spans="1:8" ht="15.75" x14ac:dyDescent="0.25">
      <c r="A42" s="30"/>
      <c r="B42" s="30"/>
      <c r="C42" s="30"/>
      <c r="D42" s="31"/>
      <c r="E42" s="32"/>
      <c r="F42" s="30"/>
      <c r="G42" s="30"/>
      <c r="H42" s="30"/>
    </row>
    <row r="43" spans="1:8" ht="15.75" x14ac:dyDescent="0.25">
      <c r="A43" s="30"/>
      <c r="B43" s="30"/>
      <c r="C43" s="30"/>
      <c r="D43" s="31"/>
      <c r="E43" s="32"/>
      <c r="F43" s="30"/>
      <c r="G43" s="30"/>
      <c r="H43" s="30"/>
    </row>
    <row r="44" spans="1:8" ht="15.75" x14ac:dyDescent="0.25">
      <c r="A44" s="30"/>
      <c r="B44" s="30"/>
      <c r="C44" s="30"/>
      <c r="D44" s="31"/>
      <c r="E44" s="32"/>
      <c r="F44" s="30"/>
      <c r="G44" s="30"/>
      <c r="H44" s="30"/>
    </row>
    <row r="45" spans="1:8" ht="15.75" x14ac:dyDescent="0.25">
      <c r="A45" s="30"/>
      <c r="B45" s="30"/>
      <c r="C45" s="30"/>
      <c r="D45" s="31"/>
      <c r="E45" s="32"/>
      <c r="F45" s="30"/>
      <c r="G45" s="30"/>
      <c r="H45" s="30"/>
    </row>
    <row r="46" spans="1:8" ht="15.75" x14ac:dyDescent="0.25">
      <c r="A46" s="30"/>
      <c r="B46" s="30"/>
      <c r="C46" s="30"/>
      <c r="D46" s="31"/>
      <c r="E46" s="32"/>
      <c r="F46" s="30"/>
      <c r="G46" s="30"/>
      <c r="H46" s="30"/>
    </row>
    <row r="47" spans="1:8" ht="15.75" x14ac:dyDescent="0.25">
      <c r="A47" s="30"/>
      <c r="B47" s="30"/>
      <c r="C47" s="30"/>
      <c r="D47" s="31"/>
      <c r="E47" s="32"/>
      <c r="F47" s="30"/>
      <c r="G47" s="30"/>
      <c r="H47" s="30"/>
    </row>
    <row r="48" spans="1:8" ht="15.75" x14ac:dyDescent="0.25">
      <c r="A48" s="30"/>
      <c r="B48" s="30"/>
      <c r="C48" s="30"/>
      <c r="D48" s="31"/>
      <c r="E48" s="32"/>
      <c r="F48" s="30"/>
      <c r="G48" s="30"/>
      <c r="H48" s="30"/>
    </row>
    <row r="49" spans="1:8" ht="15.75" x14ac:dyDescent="0.25">
      <c r="A49" s="30"/>
      <c r="B49" s="30"/>
      <c r="C49" s="30"/>
      <c r="D49" s="31"/>
      <c r="E49" s="32"/>
      <c r="F49" s="30"/>
      <c r="G49" s="30"/>
      <c r="H49" s="30"/>
    </row>
    <row r="50" spans="1:8" ht="15.75" x14ac:dyDescent="0.25">
      <c r="A50" s="30"/>
      <c r="B50" s="30"/>
      <c r="C50" s="30"/>
      <c r="D50" s="31"/>
      <c r="E50" s="32"/>
      <c r="F50" s="30"/>
      <c r="G50" s="30"/>
      <c r="H50" s="30"/>
    </row>
    <row r="51" spans="1:8" ht="15.75" x14ac:dyDescent="0.25">
      <c r="A51" s="30"/>
      <c r="B51" s="30"/>
      <c r="C51" s="30"/>
      <c r="D51" s="31"/>
      <c r="E51" s="32"/>
      <c r="F51" s="30"/>
      <c r="G51" s="30"/>
      <c r="H51" s="30"/>
    </row>
    <row r="52" spans="1:8" ht="15.75" x14ac:dyDescent="0.25">
      <c r="A52" s="30"/>
      <c r="B52" s="30"/>
      <c r="C52" s="30"/>
      <c r="D52" s="31"/>
      <c r="E52" s="32"/>
      <c r="F52" s="30"/>
      <c r="G52" s="30"/>
      <c r="H52" s="30"/>
    </row>
    <row r="53" spans="1:8" ht="15.75" x14ac:dyDescent="0.25">
      <c r="A53" s="30"/>
      <c r="B53" s="30"/>
      <c r="C53" s="30"/>
      <c r="D53" s="31"/>
      <c r="E53" s="32"/>
      <c r="F53" s="30"/>
      <c r="G53" s="30"/>
      <c r="H53" s="30"/>
    </row>
    <row r="54" spans="1:8" ht="15.75" x14ac:dyDescent="0.25">
      <c r="A54" s="30"/>
      <c r="B54" s="30"/>
      <c r="C54" s="30"/>
      <c r="D54" s="31"/>
      <c r="E54" s="32"/>
      <c r="F54" s="30"/>
      <c r="G54" s="30"/>
      <c r="H54" s="30"/>
    </row>
    <row r="55" spans="1:8" ht="15.75" x14ac:dyDescent="0.25">
      <c r="A55" s="30"/>
      <c r="B55" s="30"/>
      <c r="C55" s="30"/>
      <c r="D55" s="31"/>
      <c r="E55" s="32"/>
      <c r="F55" s="30"/>
      <c r="G55" s="30"/>
      <c r="H55" s="30"/>
    </row>
    <row r="56" spans="1:8" ht="15.75" x14ac:dyDescent="0.25">
      <c r="A56" s="30"/>
      <c r="B56" s="30"/>
      <c r="C56" s="30"/>
      <c r="D56" s="31"/>
      <c r="E56" s="32"/>
      <c r="F56" s="30"/>
      <c r="G56" s="30"/>
      <c r="H56" s="30"/>
    </row>
    <row r="57" spans="1:8" ht="15.75" x14ac:dyDescent="0.25">
      <c r="A57" s="30"/>
      <c r="B57" s="30"/>
      <c r="C57" s="30"/>
      <c r="D57" s="31"/>
      <c r="E57" s="32"/>
      <c r="F57" s="30"/>
      <c r="G57" s="30"/>
      <c r="H57" s="30"/>
    </row>
    <row r="58" spans="1:8" ht="15.75" x14ac:dyDescent="0.25">
      <c r="A58" s="30"/>
      <c r="B58" s="30"/>
      <c r="C58" s="30"/>
      <c r="D58" s="31"/>
      <c r="E58" s="32"/>
      <c r="F58" s="30"/>
      <c r="G58" s="30"/>
      <c r="H58" s="30"/>
    </row>
    <row r="59" spans="1:8" ht="15.75" x14ac:dyDescent="0.25">
      <c r="A59" s="30"/>
      <c r="B59" s="30"/>
      <c r="C59" s="30"/>
      <c r="D59" s="31"/>
      <c r="E59" s="32"/>
      <c r="F59" s="30"/>
      <c r="G59" s="30"/>
      <c r="H59" s="30"/>
    </row>
  </sheetData>
  <mergeCells count="66">
    <mergeCell ref="C1:D1"/>
    <mergeCell ref="B7:C7"/>
    <mergeCell ref="C3:D3"/>
    <mergeCell ref="A3:B3"/>
    <mergeCell ref="A5:B5"/>
    <mergeCell ref="C5:D5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selection activeCell="F19" sqref="F19:G19"/>
    </sheetView>
  </sheetViews>
  <sheetFormatPr defaultRowHeight="15" x14ac:dyDescent="0.25"/>
  <cols>
    <col min="2" max="2" width="17.28515625" customWidth="1"/>
    <col min="4" max="4" width="16.7109375" customWidth="1"/>
    <col min="6" max="6" width="10.7109375" bestFit="1" customWidth="1"/>
    <col min="7" max="7" width="11.2851562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504</v>
      </c>
      <c r="C1" s="205" t="str">
        <f>VLOOKUP(B1,PRODUTOS!$A$7:$E$204,2,FALSE)</f>
        <v>BRIGADEIRO DE COLHER</v>
      </c>
      <c r="D1" s="205"/>
      <c r="E1" s="206">
        <f>C3</f>
        <v>4.5661437908496731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15.220479302832242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4.5661437908496731</v>
      </c>
      <c r="D3" s="213"/>
      <c r="E3" s="202" t="s">
        <v>284</v>
      </c>
      <c r="F3" s="202"/>
      <c r="G3" s="213">
        <f>G2*C5</f>
        <v>7.610239651416121</v>
      </c>
      <c r="H3" s="216"/>
    </row>
    <row r="4" spans="1:8" ht="20.25" thickTop="1" thickBot="1" x14ac:dyDescent="0.35">
      <c r="A4" s="200" t="s">
        <v>129</v>
      </c>
      <c r="B4" s="201"/>
      <c r="C4" s="211">
        <v>9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0.49559041394335507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41.095294117647057</v>
      </c>
      <c r="D6" s="205"/>
      <c r="E6" s="204" t="s">
        <v>283</v>
      </c>
      <c r="F6" s="204"/>
      <c r="G6" s="213">
        <f>G5*G4</f>
        <v>7.433856209150326</v>
      </c>
      <c r="H6" s="216"/>
    </row>
    <row r="7" spans="1:8" ht="17.25" thickTop="1" thickBot="1" x14ac:dyDescent="0.3">
      <c r="A7" s="39" t="s">
        <v>5</v>
      </c>
      <c r="B7" s="195" t="s">
        <v>9</v>
      </c>
      <c r="C7" s="196"/>
      <c r="D7" s="3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9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105</v>
      </c>
      <c r="B9" s="190" t="str">
        <f>IFERROR(VLOOKUP(A9,ListaIngredientes!$A$5:$F$155,2,FALSE),"")</f>
        <v>Bananas</v>
      </c>
      <c r="C9" s="191"/>
      <c r="D9" s="35" t="str">
        <f>IFERROR(VLOOKUP(A9,Tabela2[],3,FALSE),"")</f>
        <v>duzias</v>
      </c>
      <c r="E9" s="36">
        <v>40</v>
      </c>
      <c r="F9" s="192">
        <f>IFERROR(VLOOKUP(A9,ListaIngredientes!$A$5:$F$155,6,FALSE),"")</f>
        <v>0.5</v>
      </c>
      <c r="G9" s="192"/>
      <c r="H9" s="34">
        <f t="shared" ref="H9:H27" si="0">IFERROR(E9*F9,"")</f>
        <v>20</v>
      </c>
    </row>
    <row r="10" spans="1:8" ht="20.25" thickTop="1" thickBot="1" x14ac:dyDescent="0.35">
      <c r="A10" s="33">
        <v>125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140</v>
      </c>
      <c r="F10" s="217">
        <f>IFERROR(VLOOKUP(A10,ListaIngredientes!$A$5:$F$155,6,FALSE),"")</f>
        <v>0</v>
      </c>
      <c r="G10" s="217"/>
      <c r="H10" s="34">
        <f t="shared" si="0"/>
        <v>0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400</v>
      </c>
      <c r="F11" s="192">
        <f>IFERROR(VLOOKUP(A11,ListaIngredientes!$A$5:$F$155,6,FALSE),"")</f>
        <v>5.8823529411764701E-4</v>
      </c>
      <c r="G11" s="192"/>
      <c r="H11" s="34">
        <f t="shared" si="0"/>
        <v>0.23529411764705879</v>
      </c>
    </row>
    <row r="12" spans="1:8" ht="20.25" thickTop="1" thickBot="1" x14ac:dyDescent="0.35">
      <c r="A12" s="33">
        <v>230</v>
      </c>
      <c r="B12" s="190">
        <f>IFERROR(VLOOKUP(A12,ListaIngredientes!$A$5:$F$155,2,FALSE),"")</f>
        <v>0</v>
      </c>
      <c r="C12" s="191"/>
      <c r="D12" s="35" t="s">
        <v>41</v>
      </c>
      <c r="E12" s="36">
        <v>140</v>
      </c>
      <c r="F12" s="192">
        <f>IFERROR(VLOOKUP(A12,ListaIngredientes!$A$5:$F$155,6,FALSE),"")</f>
        <v>0.14899999999999999</v>
      </c>
      <c r="G12" s="192"/>
      <c r="H12" s="34">
        <f t="shared" si="0"/>
        <v>20.86</v>
      </c>
    </row>
    <row r="13" spans="1:8" ht="20.25" thickTop="1" thickBot="1" x14ac:dyDescent="0.35">
      <c r="A13" s="33">
        <v>143</v>
      </c>
      <c r="B13" s="190">
        <f>IFERROR(VLOOKUP(A13,ListaIngredientes!$A$5:$F$155,2,FALSE),"")</f>
        <v>0</v>
      </c>
      <c r="C13" s="191"/>
      <c r="D13" s="35" t="s">
        <v>31</v>
      </c>
      <c r="E13" s="36">
        <v>9</v>
      </c>
      <c r="F13" s="192">
        <f>IFERROR(VLOOKUP(A13,ListaIngredientes!$A$5:$F$155,6,FALSE),"")</f>
        <v>0</v>
      </c>
      <c r="G13" s="192"/>
      <c r="H13" s="34">
        <f t="shared" si="0"/>
        <v>0</v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/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/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/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41.095294117647057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6">
    <mergeCell ref="C1:D1"/>
    <mergeCell ref="B7:C7"/>
    <mergeCell ref="C3:D3"/>
    <mergeCell ref="A3:B3"/>
    <mergeCell ref="A5:B5"/>
    <mergeCell ref="C5:D5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selection activeCell="K8" sqref="K8"/>
    </sheetView>
  </sheetViews>
  <sheetFormatPr defaultRowHeight="15" x14ac:dyDescent="0.25"/>
  <cols>
    <col min="2" max="2" width="13.7109375" customWidth="1"/>
    <col min="4" max="4" width="18.5703125" customWidth="1"/>
    <col min="5" max="5" width="12.5703125" bestFit="1" customWidth="1"/>
    <col min="6" max="6" width="10.7109375" bestFit="1" customWidth="1"/>
    <col min="7" max="7" width="11.28515625" bestFit="1" customWidth="1"/>
    <col min="8" max="8" width="12.140625" customWidth="1"/>
  </cols>
  <sheetData>
    <row r="1" spans="1:8" ht="17.25" thickTop="1" thickBot="1" x14ac:dyDescent="0.3">
      <c r="A1" s="70" t="s">
        <v>202</v>
      </c>
      <c r="B1" s="106">
        <v>505</v>
      </c>
      <c r="C1" s="205" t="str">
        <f>VLOOKUP(B1,PRODUTOS!$A$7:$E$204,2,FALSE)</f>
        <v>BRIGADEIRO UNITÁRIO</v>
      </c>
      <c r="D1" s="205"/>
      <c r="E1" s="206">
        <f>C3</f>
        <v>2.525127450980392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8.4170915032679723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2.525127450980392</v>
      </c>
      <c r="D3" s="213"/>
      <c r="E3" s="202" t="s">
        <v>284</v>
      </c>
      <c r="F3" s="202"/>
      <c r="G3" s="213">
        <f>G2*C5</f>
        <v>4.2085457516339861</v>
      </c>
      <c r="H3" s="216"/>
    </row>
    <row r="4" spans="1:8" ht="20.25" thickTop="1" thickBot="1" x14ac:dyDescent="0.35">
      <c r="A4" s="200" t="s">
        <v>129</v>
      </c>
      <c r="B4" s="201"/>
      <c r="C4" s="211">
        <v>18</v>
      </c>
      <c r="D4" s="211"/>
      <c r="E4" s="199" t="s">
        <v>133</v>
      </c>
      <c r="F4" s="199"/>
      <c r="G4" s="203">
        <v>4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0.16871813725490198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45.452294117647057</v>
      </c>
      <c r="D6" s="205"/>
      <c r="E6" s="204" t="s">
        <v>283</v>
      </c>
      <c r="F6" s="204"/>
      <c r="G6" s="213">
        <f>G5*G4</f>
        <v>0.67487254901960791</v>
      </c>
      <c r="H6" s="216"/>
    </row>
    <row r="7" spans="1:8" ht="17.25" thickTop="1" thickBot="1" x14ac:dyDescent="0.3">
      <c r="A7" s="39" t="s">
        <v>5</v>
      </c>
      <c r="B7" s="195" t="s">
        <v>9</v>
      </c>
      <c r="C7" s="196"/>
      <c r="D7" s="3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18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105</v>
      </c>
      <c r="B9" s="190" t="str">
        <f>IFERROR(VLOOKUP(A9,ListaIngredientes!$A$5:$F$155,2,FALSE),"")</f>
        <v>Bananas</v>
      </c>
      <c r="C9" s="191"/>
      <c r="D9" s="35" t="str">
        <f>IFERROR(VLOOKUP(A9,Tabela2[],3,FALSE),"")</f>
        <v>duzias</v>
      </c>
      <c r="E9" s="36">
        <v>40</v>
      </c>
      <c r="F9" s="192">
        <f>IFERROR(VLOOKUP(A9,ListaIngredientes!$A$5:$F$155,6,FALSE),"")</f>
        <v>0.5</v>
      </c>
      <c r="G9" s="192"/>
      <c r="H9" s="34">
        <f t="shared" ref="H9:H27" si="0">IFERROR(E9*F9,"")</f>
        <v>20</v>
      </c>
    </row>
    <row r="10" spans="1:8" ht="20.25" thickTop="1" thickBot="1" x14ac:dyDescent="0.35">
      <c r="A10" s="33">
        <v>125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140</v>
      </c>
      <c r="F10" s="217">
        <f>IFERROR(VLOOKUP(A10,ListaIngredientes!$A$5:$F$155,6,FALSE),"")</f>
        <v>0</v>
      </c>
      <c r="G10" s="217"/>
      <c r="H10" s="34">
        <f t="shared" si="0"/>
        <v>0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400</v>
      </c>
      <c r="F11" s="192">
        <f>IFERROR(VLOOKUP(A11,ListaIngredientes!$A$5:$F$155,6,FALSE),"")</f>
        <v>5.8823529411764701E-4</v>
      </c>
      <c r="G11" s="192"/>
      <c r="H11" s="34">
        <f t="shared" si="0"/>
        <v>0.23529411764705879</v>
      </c>
    </row>
    <row r="12" spans="1:8" ht="20.25" thickTop="1" thickBot="1" x14ac:dyDescent="0.35">
      <c r="A12" s="33">
        <v>230</v>
      </c>
      <c r="B12" s="190">
        <f>IFERROR(VLOOKUP(A12,ListaIngredientes!$A$5:$F$155,2,FALSE),"")</f>
        <v>0</v>
      </c>
      <c r="C12" s="191"/>
      <c r="D12" s="35" t="s">
        <v>41</v>
      </c>
      <c r="E12" s="36">
        <v>70</v>
      </c>
      <c r="F12" s="192">
        <f>IFERROR(VLOOKUP(A12,ListaIngredientes!$A$5:$F$155,6,FALSE),"")</f>
        <v>0.14899999999999999</v>
      </c>
      <c r="G12" s="192"/>
      <c r="H12" s="34">
        <f t="shared" si="0"/>
        <v>10.43</v>
      </c>
    </row>
    <row r="13" spans="1:8" ht="20.25" thickTop="1" thickBot="1" x14ac:dyDescent="0.35">
      <c r="A13" s="33">
        <v>174</v>
      </c>
      <c r="B13" s="190" t="str">
        <f>IFERROR(VLOOKUP(A13,ListaIngredientes!$A$5:$F$155,2,FALSE),"")</f>
        <v>Galvanatec 679</v>
      </c>
      <c r="C13" s="191"/>
      <c r="D13" s="35" t="s">
        <v>31</v>
      </c>
      <c r="E13" s="36">
        <v>18</v>
      </c>
      <c r="F13" s="192">
        <f>IFERROR(VLOOKUP(A13,ListaIngredientes!$A$5:$F$155,6,FALSE),"")</f>
        <v>0.8</v>
      </c>
      <c r="G13" s="192"/>
      <c r="H13" s="34">
        <f t="shared" si="0"/>
        <v>14.4</v>
      </c>
    </row>
    <row r="14" spans="1:8" ht="20.25" thickTop="1" thickBot="1" x14ac:dyDescent="0.35">
      <c r="A14" s="33">
        <v>176</v>
      </c>
      <c r="B14" s="190" t="str">
        <f>IFERROR(VLOOKUP(A14,ListaIngredientes!$A$5:$F$155,2,FALSE),"")</f>
        <v>forminha de brigadeiro</v>
      </c>
      <c r="C14" s="191"/>
      <c r="D14" s="35" t="s">
        <v>54</v>
      </c>
      <c r="E14" s="36">
        <v>18</v>
      </c>
      <c r="F14" s="192">
        <f>IFERROR(VLOOKUP(A14,ListaIngredientes!$A$5:$F$155,6,FALSE),"")</f>
        <v>2.1499999999999998E-2</v>
      </c>
      <c r="G14" s="192"/>
      <c r="H14" s="34">
        <f t="shared" si="0"/>
        <v>0.38699999999999996</v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/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/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45.452294117647057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6">
    <mergeCell ref="C1:D1"/>
    <mergeCell ref="B7:C7"/>
    <mergeCell ref="C3:D3"/>
    <mergeCell ref="A3:B3"/>
    <mergeCell ref="A5:B5"/>
    <mergeCell ref="C5:D5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"/>
  <sheetViews>
    <sheetView zoomScaleNormal="100" workbookViewId="0">
      <selection activeCell="E16" sqref="E16"/>
    </sheetView>
  </sheetViews>
  <sheetFormatPr defaultRowHeight="15" x14ac:dyDescent="0.25"/>
  <cols>
    <col min="3" max="3" width="12" customWidth="1"/>
    <col min="4" max="4" width="13.7109375" customWidth="1"/>
    <col min="5" max="5" width="12.5703125" bestFit="1" customWidth="1"/>
    <col min="6" max="6" width="10.570312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503</v>
      </c>
      <c r="C1" s="205" t="str">
        <f>VLOOKUP(B1,PRODUTOS!$A$7:$E$204,2,FALSE)</f>
        <v>BRIGADEIRO DUO</v>
      </c>
      <c r="D1" s="205"/>
      <c r="E1" s="206">
        <f>C3</f>
        <v>4.4392551826456561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14.797517275485518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4.4392551826456561</v>
      </c>
      <c r="D3" s="213"/>
      <c r="E3" s="202" t="s">
        <v>284</v>
      </c>
      <c r="F3" s="202"/>
      <c r="G3" s="213">
        <f>G2*C5</f>
        <v>7.398758637742759</v>
      </c>
      <c r="H3" s="216"/>
    </row>
    <row r="4" spans="1:8" ht="20.25" thickTop="1" thickBot="1" x14ac:dyDescent="0.35">
      <c r="A4" s="200" t="s">
        <v>129</v>
      </c>
      <c r="B4" s="201"/>
      <c r="C4" s="211">
        <v>9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0.50404965449028971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39.953296643810901</v>
      </c>
      <c r="D6" s="205"/>
      <c r="E6" s="204" t="s">
        <v>283</v>
      </c>
      <c r="F6" s="204"/>
      <c r="G6" s="213">
        <f>G5*G4</f>
        <v>7.5607448173543457</v>
      </c>
      <c r="H6" s="216"/>
    </row>
    <row r="7" spans="1:8" ht="17.25" thickTop="1" thickBot="1" x14ac:dyDescent="0.3">
      <c r="A7" s="39" t="s">
        <v>5</v>
      </c>
      <c r="B7" s="195" t="s">
        <v>9</v>
      </c>
      <c r="C7" s="196"/>
      <c r="D7" s="3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9</v>
      </c>
      <c r="F8" s="192" t="str">
        <f>IFERROR(VLOOKUP(A8,ListaIngredientes!$A$5:$F$170,6,FALSE),"")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105</v>
      </c>
      <c r="B9" s="190" t="str">
        <f>IFERROR(VLOOKUP(A9,ListaIngredientes!$A$5:$F$155,2,FALSE),"")</f>
        <v>Bananas</v>
      </c>
      <c r="C9" s="191"/>
      <c r="D9" s="35" t="str">
        <f>IFERROR(VLOOKUP(A9,Tabela2[],3,FALSE),"")</f>
        <v>duzias</v>
      </c>
      <c r="E9" s="36">
        <v>20</v>
      </c>
      <c r="F9" s="192">
        <f>IFERROR(VLOOKUP(A9,ListaIngredientes!$A$5:$F$170,6,FALSE),"")</f>
        <v>0.5</v>
      </c>
      <c r="G9" s="192"/>
      <c r="H9" s="34">
        <f t="shared" ref="H9:H27" si="0">IFERROR(E9*F9,"")</f>
        <v>10</v>
      </c>
    </row>
    <row r="10" spans="1:8" ht="20.25" thickTop="1" thickBot="1" x14ac:dyDescent="0.35">
      <c r="A10" s="33">
        <v>125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70</v>
      </c>
      <c r="F10" s="192">
        <f>IFERROR(VLOOKUP(A10,ListaIngredientes!$A$5:$F$170,6,FALSE),"")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1000</v>
      </c>
      <c r="F11" s="192">
        <f>IFERROR(VLOOKUP(A11,ListaIngredientes!$A$5:$F$170,6,FALSE),"")</f>
        <v>5.8823529411764701E-4</v>
      </c>
      <c r="G11" s="192"/>
      <c r="H11" s="34">
        <f t="shared" si="0"/>
        <v>0.58823529411764697</v>
      </c>
    </row>
    <row r="12" spans="1:8" ht="20.25" thickTop="1" thickBot="1" x14ac:dyDescent="0.35">
      <c r="A12" s="33">
        <v>230</v>
      </c>
      <c r="B12" s="190">
        <f>IFERROR(VLOOKUP(A12,ListaIngredientes!$A$5:$F$155,2,FALSE),"")</f>
        <v>0</v>
      </c>
      <c r="C12" s="191"/>
      <c r="D12" s="35" t="s">
        <v>41</v>
      </c>
      <c r="E12" s="36">
        <v>175</v>
      </c>
      <c r="F12" s="192">
        <f>IFERROR(VLOOKUP(A12,ListaIngredientes!$A$5:$F$170,6,FALSE),"")</f>
        <v>0.14899999999999999</v>
      </c>
      <c r="G12" s="192"/>
      <c r="H12" s="34">
        <f t="shared" si="0"/>
        <v>26.074999999999999</v>
      </c>
    </row>
    <row r="13" spans="1:8" ht="20.25" thickTop="1" thickBot="1" x14ac:dyDescent="0.35">
      <c r="A13" s="33">
        <v>135</v>
      </c>
      <c r="B13" s="190" t="str">
        <f>IFERROR(VLOOKUP(A13,ListaIngredientes!$A$5:$F$155,2,FALSE),"")</f>
        <v>ISOPOR DE PIZZA REDONDA</v>
      </c>
      <c r="C13" s="191"/>
      <c r="D13" s="35" t="s">
        <v>31</v>
      </c>
      <c r="E13" s="36">
        <v>9</v>
      </c>
      <c r="F13" s="192">
        <f>IFERROR(VLOOKUP(A13,ListaIngredientes!$A$5:$F$170,6,FALSE),"")</f>
        <v>0.28999999999999998</v>
      </c>
      <c r="G13" s="192"/>
      <c r="H13" s="34">
        <f t="shared" si="0"/>
        <v>2.61</v>
      </c>
    </row>
    <row r="14" spans="1:8" ht="20.25" thickTop="1" thickBot="1" x14ac:dyDescent="0.35">
      <c r="A14" s="33">
        <v>249</v>
      </c>
      <c r="B14" s="190" t="str">
        <f>IFERROR(VLOOKUP(A14,ListaIngredientes!$A$5:$F$155,2,FALSE),"")</f>
        <v>Whey Protein</v>
      </c>
      <c r="C14" s="191"/>
      <c r="D14" s="35" t="s">
        <v>41</v>
      </c>
      <c r="E14" s="36">
        <v>40</v>
      </c>
      <c r="F14" s="192">
        <f>IFERROR(VLOOKUP(A14,ListaIngredientes!$A$5:$F$170,6,FALSE),"")</f>
        <v>1.7001533742331289E-2</v>
      </c>
      <c r="G14" s="192"/>
      <c r="H14" s="34">
        <f t="shared" si="0"/>
        <v>0.6800613496932516</v>
      </c>
    </row>
    <row r="15" spans="1:8" ht="20.25" thickTop="1" thickBot="1" x14ac:dyDescent="0.35">
      <c r="A15" s="33"/>
      <c r="B15" s="190" t="str">
        <f>IFERROR(VLOOKUP(A15,ListaIngredientes!$A$5:$F$170,2,FALSE),"")</f>
        <v/>
      </c>
      <c r="C15" s="191"/>
      <c r="D15" s="35"/>
      <c r="E15" s="36"/>
      <c r="F15" s="192" t="str">
        <f>IFERROR(VLOOKUP(A15,ListaIngredientes!$A$5:$F$170,6,FALSE),"")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IFERROR(VLOOKUP(A16,ListaIngredientes!$A$5:$F$170,2,FALSE),"")</f>
        <v/>
      </c>
      <c r="C16" s="191"/>
      <c r="D16" s="35"/>
      <c r="E16" s="36"/>
      <c r="F16" s="192" t="str">
        <f>IFERROR(VLOOKUP(A16,ListaIngredientes!$A$5:$F$170,6,FALSE),"")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IFERROR(VLOOKUP(A17,ListaIngredientes!$A$5:$F$170,2,FALSE),"")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IFERROR(VLOOKUP(A17,ListaIngredientes!$A$5:$F$170,6,FALSE),"")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IFERROR(VLOOKUP(A18,ListaIngredientes!$A$5:$F$170,2,FALSE),"")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IFERROR(VLOOKUP(A18,ListaIngredientes!$A$5:$F$170,6,FALSE),"")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IFERROR(VLOOKUP(A19,ListaIngredientes!$A$5:$F$170,2,FALSE),"")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IFERROR(VLOOKUP(A19,ListaIngredientes!$A$5:$F$170,6,FALSE),"")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IFERROR(VLOOKUP(A20,ListaIngredientes!$A$5:$F$170,2,FALSE),"")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IFERROR(VLOOKUP(A20,ListaIngredientes!$A$5:$F$170,6,FALSE),"")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IFERROR(VLOOKUP(A21,ListaIngredientes!$A$5:$F$170,2,FALSE),"")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IFERROR(VLOOKUP(A21,ListaIngredientes!$A$5:$F$170,6,FALSE),"")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IFERROR(VLOOKUP(A22,ListaIngredientes!$A$5:$F$170,2,FALSE),"")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IFERROR(VLOOKUP(A22,ListaIngredientes!$A$5:$F$170,6,FALSE),"")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IFERROR(VLOOKUP(A23,ListaIngredientes!$A$5:$F$170,2,FALSE),"")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IFERROR(VLOOKUP(A23,ListaIngredientes!$A$5:$F$170,6,FALSE),"")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IFERROR(VLOOKUP(A24,ListaIngredientes!$A$5:$F$170,2,FALSE),"")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IFERROR(VLOOKUP(A24,ListaIngredientes!$A$5:$F$170,6,FALSE),"")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IFERROR(VLOOKUP(A25,ListaIngredientes!$A$5:$F$170,2,FALSE),"")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IFERROR(VLOOKUP(A25,ListaIngredientes!$A$5:$F$170,6,FALSE),"")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IFERROR(VLOOKUP(A26,ListaIngredientes!$A$5:$F$170,2,FALSE),"")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IFERROR(VLOOKUP(A26,ListaIngredientes!$A$5:$F$170,6,FALSE),"")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IFERROR(VLOOKUP(A27,ListaIngredientes!$A$5:$F$170,2,FALSE),"")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IFERROR(VLOOKUP(A27,ListaIngredientes!$A$5:$F$170,6,FALSE),"")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39.953296643810901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  <row r="31" spans="1:8" ht="15.75" x14ac:dyDescent="0.25">
      <c r="A31" s="30"/>
      <c r="B31" s="30"/>
      <c r="C31" s="30"/>
      <c r="D31" s="31"/>
      <c r="E31" s="32"/>
      <c r="F31" s="30"/>
      <c r="G31" s="30"/>
      <c r="H31" s="30"/>
    </row>
    <row r="32" spans="1:8" ht="15.75" x14ac:dyDescent="0.25">
      <c r="A32" s="30"/>
      <c r="B32" s="30"/>
      <c r="C32" s="30"/>
      <c r="D32" s="31"/>
      <c r="E32" s="32"/>
      <c r="F32" s="30"/>
      <c r="G32" s="30"/>
      <c r="H32" s="30"/>
    </row>
    <row r="33" spans="1:8" ht="15.75" x14ac:dyDescent="0.25">
      <c r="A33" s="30"/>
      <c r="B33" s="30"/>
      <c r="C33" s="30"/>
      <c r="D33" s="31"/>
      <c r="E33" s="32"/>
      <c r="F33" s="30"/>
      <c r="G33" s="30"/>
      <c r="H33" s="30"/>
    </row>
    <row r="34" spans="1:8" ht="15.75" x14ac:dyDescent="0.25">
      <c r="A34" s="30"/>
      <c r="B34" s="30"/>
      <c r="C34" s="30"/>
      <c r="D34" s="31"/>
      <c r="E34" s="32"/>
      <c r="F34" s="30"/>
      <c r="G34" s="30"/>
      <c r="H34" s="30"/>
    </row>
    <row r="35" spans="1:8" ht="15.75" x14ac:dyDescent="0.25">
      <c r="A35" s="30"/>
      <c r="B35" s="30"/>
      <c r="C35" s="30"/>
      <c r="D35" s="31"/>
      <c r="E35" s="32"/>
      <c r="F35" s="30"/>
      <c r="G35" s="30"/>
      <c r="H35" s="30"/>
    </row>
    <row r="36" spans="1:8" ht="15.75" x14ac:dyDescent="0.25">
      <c r="A36" s="30"/>
      <c r="B36" s="30"/>
      <c r="C36" s="30"/>
      <c r="D36" s="31"/>
      <c r="E36" s="32"/>
      <c r="F36" s="30"/>
      <c r="G36" s="30"/>
      <c r="H36" s="30"/>
    </row>
    <row r="37" spans="1:8" ht="15.75" x14ac:dyDescent="0.25">
      <c r="A37" s="30"/>
      <c r="B37" s="30"/>
      <c r="C37" s="30"/>
      <c r="D37" s="31"/>
      <c r="E37" s="32"/>
      <c r="F37" s="30"/>
      <c r="G37" s="30"/>
      <c r="H37" s="30"/>
    </row>
    <row r="38" spans="1:8" ht="15.75" x14ac:dyDescent="0.25">
      <c r="A38" s="30"/>
      <c r="B38" s="30"/>
      <c r="C38" s="30"/>
      <c r="D38" s="31"/>
      <c r="E38" s="32"/>
      <c r="F38" s="30"/>
      <c r="G38" s="30"/>
      <c r="H38" s="30"/>
    </row>
    <row r="39" spans="1:8" ht="15.75" x14ac:dyDescent="0.25">
      <c r="A39" s="30"/>
      <c r="B39" s="30"/>
      <c r="C39" s="30"/>
      <c r="D39" s="31"/>
      <c r="E39" s="32"/>
      <c r="F39" s="30"/>
      <c r="G39" s="30"/>
      <c r="H39" s="30"/>
    </row>
    <row r="40" spans="1:8" ht="15.75" x14ac:dyDescent="0.25">
      <c r="A40" s="30"/>
      <c r="B40" s="30"/>
      <c r="C40" s="30"/>
      <c r="D40" s="31"/>
      <c r="E40" s="32"/>
      <c r="F40" s="30"/>
      <c r="G40" s="30"/>
      <c r="H40" s="30"/>
    </row>
    <row r="41" spans="1:8" ht="15.75" x14ac:dyDescent="0.25">
      <c r="A41" s="30"/>
      <c r="B41" s="30"/>
      <c r="C41" s="30"/>
      <c r="D41" s="31"/>
      <c r="E41" s="32"/>
      <c r="F41" s="30"/>
      <c r="G41" s="30"/>
      <c r="H41" s="30"/>
    </row>
    <row r="42" spans="1:8" ht="15.75" x14ac:dyDescent="0.25">
      <c r="A42" s="30"/>
      <c r="B42" s="30"/>
      <c r="C42" s="30"/>
      <c r="D42" s="31"/>
      <c r="E42" s="32"/>
      <c r="F42" s="30"/>
      <c r="G42" s="30"/>
      <c r="H42" s="30"/>
    </row>
    <row r="43" spans="1:8" ht="15.75" x14ac:dyDescent="0.25">
      <c r="A43" s="30"/>
      <c r="B43" s="30"/>
      <c r="C43" s="30"/>
      <c r="D43" s="31"/>
      <c r="E43" s="32"/>
      <c r="F43" s="30"/>
      <c r="G43" s="30"/>
      <c r="H43" s="30"/>
    </row>
    <row r="44" spans="1:8" ht="15.75" x14ac:dyDescent="0.25">
      <c r="A44" s="30"/>
      <c r="B44" s="30"/>
      <c r="C44" s="30"/>
      <c r="D44" s="31"/>
      <c r="E44" s="32"/>
      <c r="F44" s="30"/>
      <c r="G44" s="30"/>
      <c r="H44" s="30"/>
    </row>
    <row r="45" spans="1:8" ht="15.75" x14ac:dyDescent="0.25">
      <c r="A45" s="30"/>
      <c r="B45" s="30"/>
      <c r="C45" s="30"/>
      <c r="D45" s="31"/>
      <c r="E45" s="32"/>
      <c r="F45" s="30"/>
      <c r="G45" s="30"/>
      <c r="H45" s="30"/>
    </row>
    <row r="46" spans="1:8" ht="15.75" x14ac:dyDescent="0.25">
      <c r="A46" s="30"/>
      <c r="B46" s="30"/>
      <c r="C46" s="30"/>
      <c r="D46" s="31"/>
      <c r="E46" s="32"/>
      <c r="F46" s="30"/>
      <c r="G46" s="30"/>
      <c r="H46" s="30"/>
    </row>
    <row r="47" spans="1:8" ht="15.75" x14ac:dyDescent="0.25">
      <c r="A47" s="30"/>
      <c r="B47" s="30"/>
      <c r="C47" s="30"/>
      <c r="D47" s="31"/>
      <c r="E47" s="32"/>
      <c r="F47" s="30"/>
      <c r="G47" s="30"/>
      <c r="H47" s="30"/>
    </row>
    <row r="48" spans="1:8" ht="15.75" x14ac:dyDescent="0.25">
      <c r="A48" s="30"/>
      <c r="B48" s="30"/>
      <c r="C48" s="30"/>
      <c r="D48" s="31"/>
      <c r="E48" s="32"/>
      <c r="F48" s="30"/>
      <c r="G48" s="30"/>
      <c r="H48" s="30"/>
    </row>
    <row r="49" spans="1:8" ht="15.75" x14ac:dyDescent="0.25">
      <c r="A49" s="30"/>
      <c r="B49" s="30"/>
      <c r="C49" s="30"/>
      <c r="D49" s="31"/>
      <c r="E49" s="32"/>
      <c r="F49" s="30"/>
      <c r="G49" s="30"/>
      <c r="H49" s="30"/>
    </row>
    <row r="50" spans="1:8" ht="15.75" x14ac:dyDescent="0.25">
      <c r="A50" s="30"/>
      <c r="B50" s="30"/>
      <c r="C50" s="30"/>
      <c r="D50" s="31"/>
      <c r="E50" s="32"/>
      <c r="F50" s="30"/>
      <c r="G50" s="30"/>
      <c r="H50" s="30"/>
    </row>
    <row r="51" spans="1:8" ht="15.75" x14ac:dyDescent="0.25">
      <c r="A51" s="30"/>
      <c r="B51" s="30"/>
      <c r="C51" s="30"/>
      <c r="D51" s="31"/>
      <c r="E51" s="32"/>
      <c r="F51" s="30"/>
      <c r="G51" s="30"/>
      <c r="H51" s="30"/>
    </row>
    <row r="52" spans="1:8" ht="15.75" x14ac:dyDescent="0.25">
      <c r="A52" s="30"/>
      <c r="B52" s="30"/>
      <c r="C52" s="30"/>
      <c r="D52" s="31"/>
      <c r="E52" s="32"/>
      <c r="F52" s="30"/>
      <c r="G52" s="30"/>
      <c r="H52" s="30"/>
    </row>
    <row r="53" spans="1:8" ht="15.75" x14ac:dyDescent="0.25">
      <c r="A53" s="30"/>
      <c r="B53" s="30"/>
      <c r="C53" s="30"/>
      <c r="D53" s="31"/>
      <c r="E53" s="32"/>
      <c r="F53" s="30"/>
      <c r="G53" s="30"/>
      <c r="H53" s="30"/>
    </row>
    <row r="54" spans="1:8" ht="15.75" x14ac:dyDescent="0.25">
      <c r="A54" s="30"/>
      <c r="B54" s="30"/>
      <c r="C54" s="30"/>
      <c r="D54" s="31"/>
      <c r="E54" s="32"/>
      <c r="F54" s="30"/>
      <c r="G54" s="30"/>
      <c r="H54" s="30"/>
    </row>
    <row r="55" spans="1:8" ht="15.75" x14ac:dyDescent="0.25">
      <c r="A55" s="30"/>
      <c r="B55" s="30"/>
      <c r="C55" s="30"/>
      <c r="D55" s="31"/>
      <c r="E55" s="32"/>
      <c r="F55" s="30"/>
      <c r="G55" s="30"/>
      <c r="H55" s="30"/>
    </row>
    <row r="56" spans="1:8" ht="15.75" x14ac:dyDescent="0.25">
      <c r="A56" s="30"/>
      <c r="B56" s="30"/>
      <c r="C56" s="30"/>
      <c r="D56" s="31"/>
      <c r="E56" s="32"/>
      <c r="F56" s="30"/>
      <c r="G56" s="30"/>
      <c r="H56" s="30"/>
    </row>
    <row r="57" spans="1:8" ht="15.75" x14ac:dyDescent="0.25">
      <c r="A57" s="30"/>
      <c r="B57" s="30"/>
      <c r="C57" s="30"/>
      <c r="D57" s="31"/>
      <c r="E57" s="32"/>
      <c r="F57" s="30"/>
      <c r="G57" s="30"/>
      <c r="H57" s="30"/>
    </row>
    <row r="58" spans="1:8" ht="15.75" x14ac:dyDescent="0.25">
      <c r="A58" s="30"/>
      <c r="B58" s="30"/>
      <c r="C58" s="30"/>
      <c r="D58" s="31"/>
      <c r="E58" s="32"/>
      <c r="F58" s="30"/>
      <c r="G58" s="30"/>
      <c r="H58" s="30"/>
    </row>
    <row r="59" spans="1:8" ht="15.75" x14ac:dyDescent="0.25">
      <c r="A59" s="30"/>
      <c r="B59" s="30"/>
      <c r="C59" s="30"/>
      <c r="D59" s="31"/>
      <c r="E59" s="32"/>
      <c r="F59" s="30"/>
      <c r="G59" s="30"/>
      <c r="H59" s="30"/>
    </row>
  </sheetData>
  <mergeCells count="66">
    <mergeCell ref="C1:D1"/>
    <mergeCell ref="B7:C7"/>
    <mergeCell ref="C3:D3"/>
    <mergeCell ref="A3:B3"/>
    <mergeCell ref="A5:B5"/>
    <mergeCell ref="C5:D5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workbookViewId="0">
      <selection activeCell="C1" sqref="C1:F1"/>
    </sheetView>
  </sheetViews>
  <sheetFormatPr defaultRowHeight="15" x14ac:dyDescent="0.25"/>
  <cols>
    <col min="4" max="4" width="13.85546875" customWidth="1"/>
    <col min="8" max="8" width="17.140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107">
        <f>C3</f>
        <v>0.2153846153846154</v>
      </c>
      <c r="F1" s="70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0.71794871794871784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0.2153846153846154</v>
      </c>
      <c r="D3" s="213"/>
      <c r="E3" s="202" t="s">
        <v>284</v>
      </c>
      <c r="F3" s="202"/>
      <c r="G3" s="213">
        <f>G2*C5</f>
        <v>0.35897435897435892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0.78564102564102556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2.8000000000000003</v>
      </c>
      <c r="D6" s="205"/>
      <c r="E6" s="204" t="s">
        <v>283</v>
      </c>
      <c r="F6" s="204"/>
      <c r="G6" s="213">
        <f>G5*G4</f>
        <v>11.784615384615384</v>
      </c>
      <c r="H6" s="216"/>
    </row>
    <row r="7" spans="1:8" ht="17.25" thickTop="1" thickBot="1" x14ac:dyDescent="0.3">
      <c r="A7" s="102" t="s">
        <v>5</v>
      </c>
      <c r="B7" s="195" t="s">
        <v>9</v>
      </c>
      <c r="C7" s="196"/>
      <c r="D7" s="102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7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223</v>
      </c>
      <c r="B9" s="190" t="str">
        <f>IFERROR(VLOOKUP(A9,ListaIngredientes!$A$5:$F$155,2,FALSE),"")</f>
        <v>SACO PASCOA 24X24</v>
      </c>
      <c r="C9" s="191"/>
      <c r="D9" s="35" t="str">
        <f>IFERROR(VLOOKUP(A9,Tabela2[],3,FALSE),"")</f>
        <v>u</v>
      </c>
      <c r="E9" s="36">
        <v>7</v>
      </c>
      <c r="F9" s="192">
        <f>IFERROR(VLOOKUP(A9,ListaIngredientes!$A$5:$F$155,6,FALSE),"")</f>
        <v>0.4</v>
      </c>
      <c r="G9" s="192"/>
      <c r="H9" s="34">
        <f t="shared" ref="H9:H27" si="0">IFERROR(E9*F9,"")</f>
        <v>2.8000000000000003</v>
      </c>
    </row>
    <row r="10" spans="1:8" ht="20.25" thickTop="1" thickBot="1" x14ac:dyDescent="0.35">
      <c r="A10" s="33">
        <v>125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300</v>
      </c>
      <c r="F10" s="217">
        <f>IFERROR(VLOOKUP(A10,ListaIngredientes!$A$5:$F$155,6,FALSE),"")</f>
        <v>0</v>
      </c>
      <c r="G10" s="217"/>
      <c r="H10" s="34">
        <f t="shared" si="0"/>
        <v>0</v>
      </c>
    </row>
    <row r="11" spans="1:8" ht="20.25" thickTop="1" thickBot="1" x14ac:dyDescent="0.35">
      <c r="A11" s="33"/>
      <c r="B11" s="190" t="str">
        <f>IFERROR(VLOOKUP(A11,ListaIngredientes!$A$5:$F$155,2,FALSE),"")</f>
        <v/>
      </c>
      <c r="C11" s="191"/>
      <c r="D11" s="35" t="str">
        <f>IFERROR(VLOOKUP(A11,Tabela2[],3,FALSE),"")</f>
        <v/>
      </c>
      <c r="E11" s="36"/>
      <c r="F11" s="192" t="str">
        <f>IFERROR(VLOOKUP(A11,ListaIngredientes!$A$5:$F$155,6,FALSE),"")</f>
        <v/>
      </c>
      <c r="G11" s="192"/>
      <c r="H11" s="34" t="str">
        <f t="shared" si="0"/>
        <v/>
      </c>
    </row>
    <row r="12" spans="1:8" ht="20.25" thickTop="1" thickBot="1" x14ac:dyDescent="0.35">
      <c r="A12" s="33"/>
      <c r="B12" s="190" t="str">
        <f>IFERROR(VLOOKUP(A12,ListaIngredientes!$A$5:$F$155,2,FALSE),"")</f>
        <v/>
      </c>
      <c r="C12" s="191"/>
      <c r="D12" s="35"/>
      <c r="E12" s="36"/>
      <c r="F12" s="192" t="str">
        <f>IFERROR(VLOOKUP(A12,ListaIngredientes!$A$5:$F$155,6,FALSE),"")</f>
        <v/>
      </c>
      <c r="G12" s="192"/>
      <c r="H12" s="34" t="str">
        <f t="shared" si="0"/>
        <v/>
      </c>
    </row>
    <row r="13" spans="1:8" ht="20.25" thickTop="1" thickBot="1" x14ac:dyDescent="0.35">
      <c r="A13" s="33"/>
      <c r="B13" s="190" t="str">
        <f>IFERROR(VLOOKUP(A13,ListaIngredientes!$A$5:$F$155,2,FALSE),"")</f>
        <v/>
      </c>
      <c r="C13" s="191"/>
      <c r="D13" s="35"/>
      <c r="E13" s="36"/>
      <c r="F13" s="192" t="str">
        <f>IFERROR(VLOOKUP(A13,ListaIngredientes!$A$5:$F$155,6,FALSE),"")</f>
        <v/>
      </c>
      <c r="G13" s="192"/>
      <c r="H13" s="34" t="str">
        <f t="shared" si="0"/>
        <v/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/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/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/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2.8000000000000003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5">
    <mergeCell ref="C1:D1"/>
    <mergeCell ref="G1:H1"/>
    <mergeCell ref="A2:B2"/>
    <mergeCell ref="C2:D2"/>
    <mergeCell ref="E2:F2"/>
    <mergeCell ref="G2:H2"/>
    <mergeCell ref="C3:D3"/>
    <mergeCell ref="E3:F3"/>
    <mergeCell ref="G3:H3"/>
    <mergeCell ref="A4:B4"/>
    <mergeCell ref="C4:D4"/>
    <mergeCell ref="E4:F4"/>
    <mergeCell ref="G4:H4"/>
    <mergeCell ref="A3:B3"/>
    <mergeCell ref="E5:F5"/>
    <mergeCell ref="G5:H5"/>
    <mergeCell ref="A6:B6"/>
    <mergeCell ref="E6:F6"/>
    <mergeCell ref="G6:H6"/>
    <mergeCell ref="A5:B5"/>
    <mergeCell ref="C5:D5"/>
    <mergeCell ref="C6:D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selection sqref="A1:H6"/>
    </sheetView>
  </sheetViews>
  <sheetFormatPr defaultRowHeight="15" x14ac:dyDescent="0.25"/>
  <cols>
    <col min="2" max="2" width="16.85546875" customWidth="1"/>
    <col min="6" max="6" width="10.7109375" bestFit="1" customWidth="1"/>
    <col min="8" max="8" width="15.710937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5.5175369532428373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18.391789844142789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5.5175369532428373</v>
      </c>
      <c r="D3" s="213"/>
      <c r="E3" s="202" t="s">
        <v>284</v>
      </c>
      <c r="F3" s="202"/>
      <c r="G3" s="213">
        <f>G2*C5</f>
        <v>9.1958949220713944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0.43216420311714415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71.72798039215688</v>
      </c>
      <c r="D6" s="205"/>
      <c r="E6" s="204" t="s">
        <v>283</v>
      </c>
      <c r="F6" s="204"/>
      <c r="G6" s="213">
        <f>G5*G4</f>
        <v>6.4824630467571627</v>
      </c>
      <c r="H6" s="216"/>
    </row>
    <row r="7" spans="1:8" ht="17.25" thickTop="1" thickBot="1" x14ac:dyDescent="0.3">
      <c r="A7" s="39" t="s">
        <v>5</v>
      </c>
      <c r="B7" s="195" t="s">
        <v>9</v>
      </c>
      <c r="C7" s="196"/>
      <c r="D7" s="3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8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102</v>
      </c>
      <c r="B9" s="190" t="str">
        <f>IFERROR(VLOOKUP(A9,ListaIngredientes!$A$5:$F$155,2,FALSE),"")</f>
        <v>Ovos Branco</v>
      </c>
      <c r="C9" s="191"/>
      <c r="D9" s="35" t="s">
        <v>67</v>
      </c>
      <c r="E9" s="36">
        <v>35</v>
      </c>
      <c r="F9" s="192">
        <f>IFERROR(VLOOKUP(A9,ListaIngredientes!$A$5:$F$155,6,FALSE),"")</f>
        <v>1.6666666666666667</v>
      </c>
      <c r="G9" s="192"/>
      <c r="H9" s="34">
        <f t="shared" ref="H9:H27" si="0">IFERROR(E9*F9,"")</f>
        <v>58.333333333333336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">
        <v>41</v>
      </c>
      <c r="E10" s="36">
        <v>45</v>
      </c>
      <c r="F10" s="217">
        <f>IFERROR(VLOOKUP(A10,ListaIngredientes!$A$5:$F$155,6,FALSE),"")</f>
        <v>0.14899999999999999</v>
      </c>
      <c r="G10" s="217"/>
      <c r="H10" s="34">
        <f t="shared" si="0"/>
        <v>6.7050000000000001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200</v>
      </c>
      <c r="F11" s="192">
        <f>IFERROR(VLOOKUP(A11,ListaIngredientes!$A$5:$F$155,6,FALSE),"")</f>
        <v>5.8823529411764701E-4</v>
      </c>
      <c r="G11" s="192"/>
      <c r="H11" s="34">
        <f t="shared" si="0"/>
        <v>0.1176470588235294</v>
      </c>
    </row>
    <row r="12" spans="1:8" ht="20.25" thickTop="1" thickBot="1" x14ac:dyDescent="0.35">
      <c r="A12" s="33">
        <v>143</v>
      </c>
      <c r="B12" s="190">
        <f>IFERROR(VLOOKUP(A12,ListaIngredientes!$A$5:$F$155,2,FALSE),"")</f>
        <v>0</v>
      </c>
      <c r="C12" s="191"/>
      <c r="D12" s="35" t="s">
        <v>54</v>
      </c>
      <c r="E12" s="36">
        <v>8</v>
      </c>
      <c r="F12" s="192">
        <f>IFERROR(VLOOKUP(A12,ListaIngredientes!$A$5:$F$155,6,FALSE),"")</f>
        <v>0</v>
      </c>
      <c r="G12" s="192"/>
      <c r="H12" s="34">
        <f t="shared" si="0"/>
        <v>0</v>
      </c>
    </row>
    <row r="13" spans="1:8" ht="20.25" thickTop="1" thickBot="1" x14ac:dyDescent="0.35">
      <c r="A13" s="33">
        <v>176</v>
      </c>
      <c r="B13" s="190" t="str">
        <f>IFERROR(VLOOKUP(A13,ListaIngredientes!$A$5:$F$155,2,FALSE),"")</f>
        <v>forminha de brigadeiro</v>
      </c>
      <c r="C13" s="191"/>
      <c r="D13" s="35" t="s">
        <v>54</v>
      </c>
      <c r="E13" s="36">
        <v>8</v>
      </c>
      <c r="F13" s="192">
        <f>IFERROR(VLOOKUP(A13,ListaIngredientes!$A$5:$F$155,6,FALSE),"")</f>
        <v>2.1499999999999998E-2</v>
      </c>
      <c r="G13" s="192"/>
      <c r="H13" s="34">
        <f t="shared" si="0"/>
        <v>0.17199999999999999</v>
      </c>
    </row>
    <row r="14" spans="1:8" ht="20.25" thickTop="1" thickBot="1" x14ac:dyDescent="0.35">
      <c r="A14" s="33">
        <v>174</v>
      </c>
      <c r="B14" s="190" t="str">
        <f>IFERROR(VLOOKUP(A14,ListaIngredientes!$A$5:$F$155,2,FALSE),"")</f>
        <v>Galvanatec 679</v>
      </c>
      <c r="C14" s="191"/>
      <c r="D14" s="35" t="s">
        <v>54</v>
      </c>
      <c r="E14" s="36">
        <v>8</v>
      </c>
      <c r="F14" s="192">
        <f>IFERROR(VLOOKUP(A14,ListaIngredientes!$A$5:$F$155,6,FALSE),"")</f>
        <v>0.8</v>
      </c>
      <c r="G14" s="192"/>
      <c r="H14" s="34">
        <f t="shared" si="0"/>
        <v>6.4</v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/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/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71.72798039215688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6">
    <mergeCell ref="C1:D1"/>
    <mergeCell ref="B7:C7"/>
    <mergeCell ref="C3:D3"/>
    <mergeCell ref="A3:B3"/>
    <mergeCell ref="A5:B5"/>
    <mergeCell ref="C5:D5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I19" sqref="I19"/>
    </sheetView>
  </sheetViews>
  <sheetFormatPr defaultRowHeight="15" x14ac:dyDescent="0.25"/>
  <cols>
    <col min="2" max="2" width="18.285156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2.8140226244343891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9.3800754147812953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2.8140226244343891</v>
      </c>
      <c r="D3" s="213"/>
      <c r="E3" s="202" t="s">
        <v>284</v>
      </c>
      <c r="F3" s="202"/>
      <c r="G3" s="213">
        <f>G2*C5</f>
        <v>4.6900377073906476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0.6123984917043741</v>
      </c>
      <c r="H5" s="210"/>
    </row>
    <row r="6" spans="1:8" ht="17.25" thickTop="1" thickBot="1" x14ac:dyDescent="0.3">
      <c r="A6" s="198" t="s">
        <v>11</v>
      </c>
      <c r="B6" s="198"/>
      <c r="C6" s="212">
        <f>H28</f>
        <v>36.582294117647059</v>
      </c>
      <c r="D6" s="205"/>
      <c r="E6" s="204" t="s">
        <v>283</v>
      </c>
      <c r="F6" s="204"/>
      <c r="G6" s="213">
        <f>G5*G4</f>
        <v>9.1859773755656118</v>
      </c>
      <c r="H6" s="216"/>
    </row>
    <row r="7" spans="1:8" ht="17.25" thickTop="1" thickBot="1" x14ac:dyDescent="0.3">
      <c r="A7" s="39" t="s">
        <v>5</v>
      </c>
      <c r="B7" s="195" t="s">
        <v>9</v>
      </c>
      <c r="C7" s="196"/>
      <c r="D7" s="3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18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126</v>
      </c>
      <c r="B9" s="190" t="str">
        <f>IFERROR(VLOOKUP(A9,ListaIngredientes!$A$5:$F$155,2,FALSE),"")</f>
        <v>CHOCOLTE BRANCO</v>
      </c>
      <c r="C9" s="191"/>
      <c r="D9" s="35" t="s">
        <v>67</v>
      </c>
      <c r="E9" s="36">
        <v>70</v>
      </c>
      <c r="F9" s="192">
        <f>IFERROR(VLOOKUP(A9,ListaIngredientes!$A$5:$F$155,6,FALSE),"")</f>
        <v>0.159</v>
      </c>
      <c r="G9" s="192"/>
      <c r="H9" s="34">
        <f t="shared" ref="H9:H27" si="0">IFERROR(E9*F9,"")</f>
        <v>11.13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">
        <v>41</v>
      </c>
      <c r="E10" s="36">
        <v>70</v>
      </c>
      <c r="F10" s="217">
        <f>IFERROR(VLOOKUP(A10,ListaIngredientes!$A$5:$F$155,6,FALSE),"")</f>
        <v>0.14899999999999999</v>
      </c>
      <c r="G10" s="217"/>
      <c r="H10" s="34">
        <f t="shared" si="0"/>
        <v>10.43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400</v>
      </c>
      <c r="F11" s="192">
        <f>IFERROR(VLOOKUP(A11,ListaIngredientes!$A$5:$F$155,6,FALSE),"")</f>
        <v>5.8823529411764701E-4</v>
      </c>
      <c r="G11" s="192"/>
      <c r="H11" s="34">
        <f t="shared" si="0"/>
        <v>0.23529411764705879</v>
      </c>
    </row>
    <row r="12" spans="1:8" ht="20.25" thickTop="1" thickBot="1" x14ac:dyDescent="0.35">
      <c r="A12" s="33">
        <v>176</v>
      </c>
      <c r="B12" s="190" t="str">
        <f>IFERROR(VLOOKUP(A12,ListaIngredientes!$A$5:$F$155,2,FALSE),"")</f>
        <v>forminha de brigadeiro</v>
      </c>
      <c r="C12" s="191"/>
      <c r="D12" s="35" t="s">
        <v>54</v>
      </c>
      <c r="E12" s="36">
        <v>18</v>
      </c>
      <c r="F12" s="192">
        <f>IFERROR(VLOOKUP(A12,ListaIngredientes!$A$5:$F$155,6,FALSE),"")</f>
        <v>2.1499999999999998E-2</v>
      </c>
      <c r="G12" s="192"/>
      <c r="H12" s="34">
        <f t="shared" si="0"/>
        <v>0.38699999999999996</v>
      </c>
    </row>
    <row r="13" spans="1:8" ht="20.25" thickTop="1" thickBot="1" x14ac:dyDescent="0.35">
      <c r="A13" s="33">
        <v>174</v>
      </c>
      <c r="B13" s="190" t="str">
        <f>IFERROR(VLOOKUP(A13,ListaIngredientes!$A$5:$F$155,2,FALSE),"")</f>
        <v>Galvanatec 679</v>
      </c>
      <c r="C13" s="191"/>
      <c r="D13" s="35" t="s">
        <v>54</v>
      </c>
      <c r="E13" s="36">
        <v>18</v>
      </c>
      <c r="F13" s="192">
        <f>IFERROR(VLOOKUP(A13,ListaIngredientes!$A$5:$F$155,6,FALSE),"")</f>
        <v>0.8</v>
      </c>
      <c r="G13" s="192"/>
      <c r="H13" s="34">
        <f t="shared" si="0"/>
        <v>14.4</v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/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/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/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36.582294117647059</v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30"/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6">
    <mergeCell ref="C1:D1"/>
    <mergeCell ref="B7:C7"/>
    <mergeCell ref="C3:D3"/>
    <mergeCell ref="A3:B3"/>
    <mergeCell ref="A5:B5"/>
    <mergeCell ref="C5:D5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workbookViewId="0">
      <selection activeCell="I19" sqref="I19"/>
    </sheetView>
  </sheetViews>
  <sheetFormatPr defaultRowHeight="15" x14ac:dyDescent="0.25"/>
  <cols>
    <col min="4" max="4" width="11.5703125" customWidth="1"/>
    <col min="8" max="8" width="18.140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3.3531221719457016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11.177073906485671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3.3531221719457016</v>
      </c>
      <c r="D3" s="213"/>
      <c r="E3" s="202" t="s">
        <v>284</v>
      </c>
      <c r="F3" s="202"/>
      <c r="G3" s="213">
        <f>G2*C5</f>
        <v>5.5885369532428353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0.57645852187028646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43.590588235294121</v>
      </c>
      <c r="D6" s="205"/>
      <c r="E6" s="204" t="s">
        <v>283</v>
      </c>
      <c r="F6" s="204"/>
      <c r="G6" s="213">
        <f>G5*G4</f>
        <v>8.6468778280542971</v>
      </c>
      <c r="H6" s="216"/>
    </row>
    <row r="7" spans="1:8" ht="17.25" thickTop="1" thickBot="1" x14ac:dyDescent="0.3">
      <c r="A7" s="90" t="s">
        <v>5</v>
      </c>
      <c r="B7" s="195" t="s">
        <v>9</v>
      </c>
      <c r="C7" s="196"/>
      <c r="D7" s="9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4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126</v>
      </c>
      <c r="B9" s="190" t="str">
        <f>IFERROR(VLOOKUP(A9,ListaIngredientes!$A$5:$F$155,2,FALSE),"")</f>
        <v>CHOCOLTE BRANCO</v>
      </c>
      <c r="C9" s="191"/>
      <c r="D9" s="35" t="s">
        <v>67</v>
      </c>
      <c r="E9" s="36">
        <v>70</v>
      </c>
      <c r="F9" s="192">
        <f>IFERROR(VLOOKUP(A9,ListaIngredientes!$A$5:$F$155,6,FALSE),"")</f>
        <v>0.159</v>
      </c>
      <c r="G9" s="192"/>
      <c r="H9" s="34">
        <f t="shared" ref="H9:H27" si="0">IFERROR(E9*F9,"")</f>
        <v>11.13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">
        <v>41</v>
      </c>
      <c r="E10" s="36">
        <v>70</v>
      </c>
      <c r="F10" s="217">
        <f>IFERROR(VLOOKUP(A10,ListaIngredientes!$A$5:$F$155,6,FALSE),"")</f>
        <v>0.14899999999999999</v>
      </c>
      <c r="G10" s="217"/>
      <c r="H10" s="34">
        <f t="shared" si="0"/>
        <v>10.43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400</v>
      </c>
      <c r="F11" s="192">
        <f>IFERROR(VLOOKUP(A11,ListaIngredientes!$A$5:$F$155,6,FALSE),"")</f>
        <v>5.8823529411764701E-4</v>
      </c>
      <c r="G11" s="192"/>
      <c r="H11" s="34">
        <f t="shared" si="0"/>
        <v>0.23529411764705879</v>
      </c>
    </row>
    <row r="12" spans="1:8" ht="20.25" thickTop="1" thickBot="1" x14ac:dyDescent="0.35">
      <c r="A12" s="33"/>
      <c r="B12" s="190" t="str">
        <f>IFERROR(VLOOKUP(A12,ListaIngredientes!$A$5:$F$155,2,FALSE),"")</f>
        <v/>
      </c>
      <c r="C12" s="191"/>
      <c r="D12" s="35"/>
      <c r="E12" s="36"/>
      <c r="F12" s="192" t="str">
        <f>IFERROR(VLOOKUP(A12,ListaIngredientes!$A$5:$F$155,6,FALSE),"")</f>
        <v/>
      </c>
      <c r="G12" s="192"/>
      <c r="H12" s="34" t="str">
        <f t="shared" si="0"/>
        <v/>
      </c>
    </row>
    <row r="13" spans="1:8" ht="20.25" thickTop="1" thickBot="1" x14ac:dyDescent="0.35">
      <c r="A13" s="33"/>
      <c r="B13" s="190" t="str">
        <f>IFERROR(VLOOKUP(A13,ListaIngredientes!$A$5:$F$155,2,FALSE),"")</f>
        <v/>
      </c>
      <c r="C13" s="191"/>
      <c r="D13" s="35"/>
      <c r="E13" s="36"/>
      <c r="F13" s="192" t="str">
        <f>IFERROR(VLOOKUP(A13,ListaIngredientes!$A$5:$F$155,6,FALSE),"")</f>
        <v/>
      </c>
      <c r="G13" s="192"/>
      <c r="H13" s="34" t="str">
        <f t="shared" si="0"/>
        <v/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/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/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/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21.79529411764706</v>
      </c>
    </row>
    <row r="29" spans="1:8" ht="15.75" thickTop="1" x14ac:dyDescent="0.25"/>
  </sheetData>
  <mergeCells count="66">
    <mergeCell ref="C1:D1"/>
    <mergeCell ref="E1:F1"/>
    <mergeCell ref="G1:H1"/>
    <mergeCell ref="A2:B2"/>
    <mergeCell ref="C2:D2"/>
    <mergeCell ref="E2:F2"/>
    <mergeCell ref="G2:H2"/>
    <mergeCell ref="C3:D3"/>
    <mergeCell ref="E3:F3"/>
    <mergeCell ref="G3:H3"/>
    <mergeCell ref="A4:B4"/>
    <mergeCell ref="C4:D4"/>
    <mergeCell ref="E4:F4"/>
    <mergeCell ref="G4:H4"/>
    <mergeCell ref="A3:B3"/>
    <mergeCell ref="E5:F5"/>
    <mergeCell ref="G5:H5"/>
    <mergeCell ref="A6:B6"/>
    <mergeCell ref="E6:F6"/>
    <mergeCell ref="G6:H6"/>
    <mergeCell ref="A5:B5"/>
    <mergeCell ref="C5:D5"/>
    <mergeCell ref="C6:D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>
      <selection activeCell="I19" sqref="I19"/>
    </sheetView>
  </sheetViews>
  <sheetFormatPr defaultRowHeight="15" x14ac:dyDescent="0.25"/>
  <cols>
    <col min="2" max="2" width="20" customWidth="1"/>
    <col min="3" max="3" width="14.5703125" customWidth="1"/>
    <col min="4" max="4" width="12.425781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6.5014779788838615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21.671593262946203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6.5014779788838615</v>
      </c>
      <c r="D3" s="213"/>
      <c r="E3" s="202" t="s">
        <v>284</v>
      </c>
      <c r="F3" s="202"/>
      <c r="G3" s="213">
        <f>G2*C5</f>
        <v>10.835796631473102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0.36656813474107591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84.519213725490204</v>
      </c>
      <c r="D6" s="205"/>
      <c r="E6" s="204" t="s">
        <v>283</v>
      </c>
      <c r="F6" s="204"/>
      <c r="G6" s="213">
        <f>G5*G4</f>
        <v>5.4985220211161385</v>
      </c>
      <c r="H6" s="216"/>
    </row>
    <row r="7" spans="1:8" ht="17.25" thickTop="1" thickBot="1" x14ac:dyDescent="0.3">
      <c r="A7" s="46" t="s">
        <v>5</v>
      </c>
      <c r="B7" s="195" t="s">
        <v>9</v>
      </c>
      <c r="C7" s="196"/>
      <c r="D7" s="46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203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1</v>
      </c>
      <c r="F9" s="192">
        <f>IFERROR(VLOOKUP(A9,ListaIngredientes!$A$5:$F$155,6,FALSE),"")</f>
        <v>0</v>
      </c>
      <c r="G9" s="192"/>
      <c r="H9" s="34">
        <f t="shared" ref="H9:H28" si="0">IFERROR(E9*F9,"")</f>
        <v>0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80</v>
      </c>
      <c r="F10" s="192">
        <f>IFERROR(VLOOKUP(A10,ListaIngredientes!$A$5:$F$155,6,FALSE),"")</f>
        <v>0.14899999999999999</v>
      </c>
      <c r="G10" s="192"/>
      <c r="H10" s="34">
        <f t="shared" si="0"/>
        <v>11.92</v>
      </c>
    </row>
    <row r="11" spans="1:8" ht="20.25" thickTop="1" thickBot="1" x14ac:dyDescent="0.35">
      <c r="A11" s="33">
        <v>125</v>
      </c>
      <c r="B11" s="190">
        <f>IFERROR(VLOOKUP(A11,ListaIngredientes!$A$5:$F$155,2,FALSE),"")</f>
        <v>0</v>
      </c>
      <c r="C11" s="191"/>
      <c r="D11" s="35">
        <f>IFERROR(VLOOKUP(A11,Tabela2[],3,FALSE),"")</f>
        <v>0</v>
      </c>
      <c r="E11" s="36">
        <v>200</v>
      </c>
      <c r="F11" s="192">
        <f>IFERROR(VLOOKUP(A11,ListaIngredientes!$A$5:$F$155,6,FALSE),"")</f>
        <v>0</v>
      </c>
      <c r="G11" s="192"/>
      <c r="H11" s="34">
        <f t="shared" si="0"/>
        <v>0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100</v>
      </c>
      <c r="F12" s="192">
        <f>IFERROR(VLOOKUP(A12,ListaIngredientes!$A$5:$F$155,6,FALSE),"")</f>
        <v>9.9666666666666667E-2</v>
      </c>
      <c r="G12" s="192"/>
      <c r="H12" s="34">
        <f t="shared" si="0"/>
        <v>9.9666666666666668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20</v>
      </c>
      <c r="F13" s="192">
        <f>IFERROR(VLOOKUP(A13,ListaIngredientes!$A$5:$F$155,6,FALSE),"")</f>
        <v>2.59</v>
      </c>
      <c r="G13" s="192"/>
      <c r="H13" s="34">
        <f t="shared" si="0"/>
        <v>51.8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15</v>
      </c>
      <c r="F14" s="192">
        <f>IFERROR(VLOOKUP(A14,ListaIngredientes!$A$5:$F$155,6,FALSE),"")</f>
        <v>6.3E-2</v>
      </c>
      <c r="G14" s="192"/>
      <c r="H14" s="34">
        <f t="shared" si="0"/>
        <v>0.94500000000000006</v>
      </c>
    </row>
    <row r="15" spans="1:8" ht="20.25" thickTop="1" thickBot="1" x14ac:dyDescent="0.35">
      <c r="A15" s="33">
        <v>246</v>
      </c>
      <c r="B15" s="190" t="str">
        <f>IFERROR(VLOOKUP(A15,ListaIngredientes!$A$5:$F$155,2,FALSE),"")</f>
        <v>Uva Passas</v>
      </c>
      <c r="C15" s="191"/>
      <c r="D15" s="35" t="str">
        <f>IFERROR(VLOOKUP(A15,Tabela2[],3,FALSE),"")</f>
        <v>KG</v>
      </c>
      <c r="E15" s="36">
        <v>8</v>
      </c>
      <c r="F15" s="192">
        <f>IFERROR(VLOOKUP(A15,ListaIngredientes!$A$5:$F$155,6,FALSE),"")</f>
        <v>1.7999999999999999E-2</v>
      </c>
      <c r="G15" s="192"/>
      <c r="H15" s="34">
        <f t="shared" si="0"/>
        <v>0.14399999999999999</v>
      </c>
    </row>
    <row r="16" spans="1:8" ht="20.25" thickTop="1" thickBot="1" x14ac:dyDescent="0.35">
      <c r="A16" s="33">
        <v>182</v>
      </c>
      <c r="B16" s="190" t="str">
        <f>IFERROR(VLOOKUP(A16,ListaIngredientes!$A$5:$F$155,2,FALSE),"")</f>
        <v>GERGILIM</v>
      </c>
      <c r="C16" s="191"/>
      <c r="D16" s="35" t="str">
        <f>IFERROR(VLOOKUP(A16,Tabela2[],3,FALSE),"")</f>
        <v>KG</v>
      </c>
      <c r="E16" s="36">
        <v>2</v>
      </c>
      <c r="F16" s="192">
        <f>IFERROR(VLOOKUP(A16,ListaIngredientes!$A$5:$F$155,6,FALSE),"")</f>
        <v>2.9000000000000001E-2</v>
      </c>
      <c r="G16" s="192"/>
      <c r="H16" s="34">
        <f t="shared" si="0"/>
        <v>5.8000000000000003E-2</v>
      </c>
    </row>
    <row r="17" spans="1:8" ht="20.25" thickTop="1" thickBot="1" x14ac:dyDescent="0.35">
      <c r="A17" s="33">
        <v>194</v>
      </c>
      <c r="B17" s="190" t="str">
        <f>IFERROR(VLOOKUP(A17,ListaIngredientes!$A$5:$F$155,2,FALSE),"")</f>
        <v>Maçã</v>
      </c>
      <c r="C17" s="191"/>
      <c r="D17" s="35" t="str">
        <f>IFERROR(VLOOKUP(A17,Tabela2[],3,FALSE),"")</f>
        <v>kg</v>
      </c>
      <c r="E17" s="36">
        <v>30</v>
      </c>
      <c r="F17" s="192">
        <f>IFERROR(VLOOKUP(A17,ListaIngredientes!$A$5:$F$155,6,FALSE),"")</f>
        <v>3.9900000000000005E-3</v>
      </c>
      <c r="G17" s="192"/>
      <c r="H17" s="34">
        <f t="shared" si="0"/>
        <v>0.11970000000000001</v>
      </c>
    </row>
    <row r="18" spans="1:8" ht="20.25" thickTop="1" thickBot="1" x14ac:dyDescent="0.35">
      <c r="A18" s="33">
        <v>139</v>
      </c>
      <c r="B18" s="190" t="str">
        <f>IFERROR(VLOOKUP(A18,ListaIngredientes!$A$5:$F$155,2,FALSE),"")</f>
        <v>cravo da india</v>
      </c>
      <c r="C18" s="191"/>
      <c r="D18" s="35" t="str">
        <f>IFERROR(VLOOKUP(A18,Tabela2[],3,FALSE),"")</f>
        <v>g</v>
      </c>
      <c r="E18" s="36">
        <v>200</v>
      </c>
      <c r="F18" s="192">
        <f>IFERROR(VLOOKUP(A18,ListaIngredientes!$A$5:$F$155,6,FALSE),"")</f>
        <v>5.8823529411764701E-4</v>
      </c>
      <c r="G18" s="192"/>
      <c r="H18" s="34">
        <f t="shared" si="0"/>
        <v>0.1176470588235294</v>
      </c>
    </row>
    <row r="19" spans="1:8" ht="20.25" thickTop="1" thickBot="1" x14ac:dyDescent="0.35">
      <c r="A19" s="33">
        <v>224</v>
      </c>
      <c r="B19" s="190" t="str">
        <f>IFERROR(VLOOKUP(A19,ListaIngredientes!$A$5:$F$155,2,FALSE),"")</f>
        <v>SACO PASCOA 32X32</v>
      </c>
      <c r="C19" s="191"/>
      <c r="D19" s="35" t="str">
        <f>IFERROR(VLOOKUP(A19,Tabela2[],3,FALSE),"")</f>
        <v>kg</v>
      </c>
      <c r="E19" s="36">
        <v>12</v>
      </c>
      <c r="F19" s="192">
        <f>IFERROR(VLOOKUP(A19,ListaIngredientes!$A$5:$F$155,6,FALSE),"")</f>
        <v>3.8600000000000002E-2</v>
      </c>
      <c r="G19" s="192"/>
      <c r="H19" s="34">
        <f t="shared" si="0"/>
        <v>0.46320000000000006</v>
      </c>
    </row>
    <row r="20" spans="1:8" ht="20.25" thickTop="1" thickBot="1" x14ac:dyDescent="0.35">
      <c r="A20" s="33">
        <v>156</v>
      </c>
      <c r="B20" s="190" t="str">
        <f>IFERROR(VLOOKUP(A20,ListaIngredientes!$A$5:$F$155,2,FALSE),"")</f>
        <v>embalagem quiche</v>
      </c>
      <c r="C20" s="191"/>
      <c r="D20" s="35" t="str">
        <f>IFERROR(VLOOKUP(A20,Tabela2[],3,FALSE),"")</f>
        <v>u</v>
      </c>
      <c r="E20" s="36">
        <v>15</v>
      </c>
      <c r="F20" s="192">
        <f>IFERROR(VLOOKUP(A20,ListaIngredientes!$A$5:$F$155,6,FALSE),"")</f>
        <v>0.59899999999999998</v>
      </c>
      <c r="G20" s="192"/>
      <c r="H20" s="34">
        <f t="shared" si="0"/>
        <v>8.9849999999999994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58">
        <f>SUM(H8:H27)</f>
        <v>84.519213725490204</v>
      </c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6">
    <mergeCell ref="C1:D1"/>
    <mergeCell ref="B7:C7"/>
    <mergeCell ref="C3:D3"/>
    <mergeCell ref="A3:B3"/>
    <mergeCell ref="A5:B5"/>
    <mergeCell ref="C5:D5"/>
    <mergeCell ref="A6:B6"/>
    <mergeCell ref="C6:D6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F23:G23"/>
    <mergeCell ref="B13:C13"/>
    <mergeCell ref="F13:G13"/>
    <mergeCell ref="B14:C14"/>
    <mergeCell ref="F14:G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F17:G17"/>
    <mergeCell ref="B18:C18"/>
    <mergeCell ref="F18:G18"/>
    <mergeCell ref="E3:F3"/>
    <mergeCell ref="G3:H3"/>
    <mergeCell ref="C4:D4"/>
    <mergeCell ref="E4:F4"/>
    <mergeCell ref="G4:H4"/>
    <mergeCell ref="B15:C15"/>
    <mergeCell ref="F15:G15"/>
    <mergeCell ref="B10:C10"/>
    <mergeCell ref="F10:G10"/>
    <mergeCell ref="B11:C11"/>
    <mergeCell ref="F11:G11"/>
    <mergeCell ref="B12:C12"/>
    <mergeCell ref="F12:G12"/>
    <mergeCell ref="B27:C27"/>
    <mergeCell ref="F27:G27"/>
    <mergeCell ref="F28:G28"/>
    <mergeCell ref="E5:F5"/>
    <mergeCell ref="G5:H5"/>
    <mergeCell ref="E6:F6"/>
    <mergeCell ref="G6:H6"/>
    <mergeCell ref="B25:C25"/>
    <mergeCell ref="F25:G25"/>
    <mergeCell ref="F26:G26"/>
    <mergeCell ref="B22:C22"/>
    <mergeCell ref="F22:G22"/>
    <mergeCell ref="B23:C23"/>
    <mergeCell ref="B16:C16"/>
    <mergeCell ref="F16:G16"/>
    <mergeCell ref="B17:C1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"/>
  <sheetViews>
    <sheetView workbookViewId="0">
      <selection activeCell="I19" sqref="I19"/>
    </sheetView>
  </sheetViews>
  <sheetFormatPr defaultRowHeight="15" x14ac:dyDescent="0.25"/>
  <cols>
    <col min="3" max="3" width="17" customWidth="1"/>
    <col min="4" max="4" width="10" bestFit="1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10.772419381598796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35.908064605329315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10.772419381598796</v>
      </c>
      <c r="D3" s="213"/>
      <c r="E3" s="202" t="s">
        <v>284</v>
      </c>
      <c r="F3" s="202"/>
      <c r="G3" s="213">
        <f>G2*C5</f>
        <v>17.954032302664658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8.1838707893413576E-2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140.04145196078434</v>
      </c>
      <c r="D6" s="205"/>
      <c r="E6" s="204" t="s">
        <v>283</v>
      </c>
      <c r="F6" s="204"/>
      <c r="G6" s="213">
        <f>G5*G4</f>
        <v>1.2275806184012037</v>
      </c>
      <c r="H6" s="216"/>
    </row>
    <row r="7" spans="1:8" ht="17.25" thickTop="1" thickBot="1" x14ac:dyDescent="0.3">
      <c r="A7" s="52" t="s">
        <v>5</v>
      </c>
      <c r="B7" s="195" t="s">
        <v>9</v>
      </c>
      <c r="C7" s="196"/>
      <c r="D7" s="52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143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13</v>
      </c>
      <c r="F9" s="192">
        <f>IFERROR(VLOOKUP(A9,ListaIngredientes!$A$5:$F$155,6,FALSE),"")</f>
        <v>0</v>
      </c>
      <c r="G9" s="192"/>
      <c r="H9" s="34">
        <f t="shared" ref="H9:H28" si="0">IFERROR(E9*F9,"")</f>
        <v>0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290</v>
      </c>
      <c r="F10" s="192">
        <f>IFERROR(VLOOKUP(A10,ListaIngredientes!$A$5:$F$155,6,FALSE),"")</f>
        <v>0.14899999999999999</v>
      </c>
      <c r="G10" s="192"/>
      <c r="H10" s="34">
        <f t="shared" si="0"/>
        <v>43.21</v>
      </c>
    </row>
    <row r="11" spans="1:8" ht="20.25" thickTop="1" thickBot="1" x14ac:dyDescent="0.35">
      <c r="A11" s="33">
        <v>125</v>
      </c>
      <c r="B11" s="190">
        <f>IFERROR(VLOOKUP(A11,ListaIngredientes!$A$5:$F$155,2,FALSE),"")</f>
        <v>0</v>
      </c>
      <c r="C11" s="191"/>
      <c r="D11" s="35">
        <f>IFERROR(VLOOKUP(A11,Tabela2[],3,FALSE),"")</f>
        <v>0</v>
      </c>
      <c r="E11" s="36">
        <v>150</v>
      </c>
      <c r="F11" s="192">
        <f>IFERROR(VLOOKUP(A11,ListaIngredientes!$A$5:$F$155,6,FALSE),"")</f>
        <v>0</v>
      </c>
      <c r="G11" s="192"/>
      <c r="H11" s="34">
        <f t="shared" si="0"/>
        <v>0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220</v>
      </c>
      <c r="F12" s="192">
        <f>IFERROR(VLOOKUP(A12,ListaIngredientes!$A$5:$F$155,6,FALSE),"")</f>
        <v>9.9666666666666667E-2</v>
      </c>
      <c r="G12" s="192"/>
      <c r="H12" s="34">
        <f t="shared" si="0"/>
        <v>21.926666666666666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15</v>
      </c>
      <c r="F13" s="192">
        <f>IFERROR(VLOOKUP(A13,ListaIngredientes!$A$5:$F$155,6,FALSE),"")</f>
        <v>2.59</v>
      </c>
      <c r="G13" s="192"/>
      <c r="H13" s="34">
        <f t="shared" si="0"/>
        <v>38.849999999999994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15</v>
      </c>
      <c r="F14" s="192">
        <f>IFERROR(VLOOKUP(A14,ListaIngredientes!$A$5:$F$155,6,FALSE),"")</f>
        <v>6.3E-2</v>
      </c>
      <c r="G14" s="192"/>
      <c r="H14" s="34">
        <f t="shared" si="0"/>
        <v>0.94500000000000006</v>
      </c>
    </row>
    <row r="15" spans="1:8" ht="20.25" thickTop="1" thickBot="1" x14ac:dyDescent="0.35">
      <c r="A15" s="33">
        <v>246</v>
      </c>
      <c r="B15" s="190" t="str">
        <f>IFERROR(VLOOKUP(A15,ListaIngredientes!$A$5:$F$155,2,FALSE),"")</f>
        <v>Uva Passas</v>
      </c>
      <c r="C15" s="191"/>
      <c r="D15" s="35" t="str">
        <f>IFERROR(VLOOKUP(A15,Tabela2[],3,FALSE),"")</f>
        <v>KG</v>
      </c>
      <c r="E15" s="36">
        <v>15</v>
      </c>
      <c r="F15" s="192">
        <f>IFERROR(VLOOKUP(A15,ListaIngredientes!$A$5:$F$155,6,FALSE),"")</f>
        <v>1.7999999999999999E-2</v>
      </c>
      <c r="G15" s="192"/>
      <c r="H15" s="34">
        <f t="shared" si="0"/>
        <v>0.26999999999999996</v>
      </c>
    </row>
    <row r="16" spans="1:8" ht="20.25" thickTop="1" thickBot="1" x14ac:dyDescent="0.35">
      <c r="A16" s="33">
        <v>182</v>
      </c>
      <c r="B16" s="190" t="str">
        <f>IFERROR(VLOOKUP(A16,ListaIngredientes!$A$5:$F$155,2,FALSE),"")</f>
        <v>GERGILIM</v>
      </c>
      <c r="C16" s="191"/>
      <c r="D16" s="35" t="str">
        <f>IFERROR(VLOOKUP(A16,Tabela2[],3,FALSE),"")</f>
        <v>KG</v>
      </c>
      <c r="E16" s="36">
        <v>3</v>
      </c>
      <c r="F16" s="192">
        <f>IFERROR(VLOOKUP(A16,ListaIngredientes!$A$5:$F$155,6,FALSE),"")</f>
        <v>2.9000000000000001E-2</v>
      </c>
      <c r="G16" s="192"/>
      <c r="H16" s="34">
        <f t="shared" si="0"/>
        <v>8.7000000000000008E-2</v>
      </c>
    </row>
    <row r="17" spans="1:8" ht="20.25" thickTop="1" thickBot="1" x14ac:dyDescent="0.35">
      <c r="A17" s="33">
        <v>194</v>
      </c>
      <c r="B17" s="190" t="str">
        <f>IFERROR(VLOOKUP(A17,ListaIngredientes!$A$5:$F$155,2,FALSE),"")</f>
        <v>Maçã</v>
      </c>
      <c r="C17" s="191"/>
      <c r="D17" s="35" t="str">
        <f>IFERROR(VLOOKUP(A17,Tabela2[],3,FALSE),"")</f>
        <v>kg</v>
      </c>
      <c r="E17" s="36">
        <v>45</v>
      </c>
      <c r="F17" s="192">
        <f>IFERROR(VLOOKUP(A17,ListaIngredientes!$A$5:$F$155,6,FALSE),"")</f>
        <v>3.9900000000000005E-3</v>
      </c>
      <c r="G17" s="192"/>
      <c r="H17" s="34">
        <f t="shared" si="0"/>
        <v>0.17955000000000002</v>
      </c>
    </row>
    <row r="18" spans="1:8" ht="20.25" thickTop="1" thickBot="1" x14ac:dyDescent="0.35">
      <c r="A18" s="33">
        <v>139</v>
      </c>
      <c r="B18" s="190" t="str">
        <f>IFERROR(VLOOKUP(A18,ListaIngredientes!$A$5:$F$155,2,FALSE),"")</f>
        <v>cravo da india</v>
      </c>
      <c r="C18" s="191"/>
      <c r="D18" s="35" t="str">
        <f>IFERROR(VLOOKUP(A18,Tabela2[],3,FALSE),"")</f>
        <v>g</v>
      </c>
      <c r="E18" s="36">
        <v>1000</v>
      </c>
      <c r="F18" s="192">
        <f>IFERROR(VLOOKUP(A18,ListaIngredientes!$A$5:$F$155,6,FALSE),"")</f>
        <v>5.8823529411764701E-4</v>
      </c>
      <c r="G18" s="192"/>
      <c r="H18" s="34">
        <f t="shared" si="0"/>
        <v>0.58823529411764697</v>
      </c>
    </row>
    <row r="19" spans="1:8" ht="20.25" thickTop="1" thickBot="1" x14ac:dyDescent="0.35">
      <c r="A19" s="33"/>
      <c r="B19" s="190"/>
      <c r="C19" s="191"/>
      <c r="D19" s="35"/>
      <c r="E19" s="36"/>
      <c r="F19" s="192"/>
      <c r="G19" s="192"/>
      <c r="H19" s="34"/>
    </row>
    <row r="20" spans="1:8" ht="20.25" thickTop="1" thickBot="1" x14ac:dyDescent="0.35">
      <c r="A20" s="33">
        <v>105</v>
      </c>
      <c r="B20" s="190" t="str">
        <f>IFERROR(VLOOKUP(A20,ListaIngredientes!$A$5:$F$155,2,FALSE),"")</f>
        <v>Bananas</v>
      </c>
      <c r="C20" s="191"/>
      <c r="D20" s="35" t="str">
        <f>IFERROR(VLOOKUP(A20,Tabela2[],3,FALSE),"")</f>
        <v>duzias</v>
      </c>
      <c r="E20" s="36">
        <v>50</v>
      </c>
      <c r="F20" s="192">
        <f>IFERROR(VLOOKUP(A20,ListaIngredientes!$A$5:$F$155,6,FALSE),"")</f>
        <v>0.5</v>
      </c>
      <c r="G20" s="192"/>
      <c r="H20" s="34">
        <f t="shared" si="0"/>
        <v>25</v>
      </c>
    </row>
    <row r="21" spans="1:8" ht="20.25" thickTop="1" thickBot="1" x14ac:dyDescent="0.35">
      <c r="A21" s="33">
        <v>203</v>
      </c>
      <c r="B21" s="190">
        <f>IFERROR(VLOOKUP(A21,ListaIngredientes!$A$5:$F$155,2,FALSE),"")</f>
        <v>0</v>
      </c>
      <c r="C21" s="191"/>
      <c r="D21" s="35">
        <f>IFERROR(VLOOKUP(A21,Tabela2[],3,FALSE),"")</f>
        <v>0</v>
      </c>
      <c r="E21" s="36">
        <v>1</v>
      </c>
      <c r="F21" s="192">
        <f>IFERROR(VLOOKUP(A21,ListaIngredientes!$A$5:$F$155,6,FALSE),"")</f>
        <v>0</v>
      </c>
      <c r="G21" s="192"/>
      <c r="H21" s="34">
        <f t="shared" si="0"/>
        <v>0</v>
      </c>
    </row>
    <row r="22" spans="1:8" ht="20.25" thickTop="1" thickBot="1" x14ac:dyDescent="0.35">
      <c r="A22" s="33">
        <v>156</v>
      </c>
      <c r="B22" s="190" t="str">
        <f>IFERROR(VLOOKUP(A22,ListaIngredientes!$A$5:$F$155,2,FALSE),"")</f>
        <v>embalagem quiche</v>
      </c>
      <c r="C22" s="191"/>
      <c r="D22" s="35" t="str">
        <f>IFERROR(VLOOKUP(A22,Tabela2[],3,FALSE),"")</f>
        <v>u</v>
      </c>
      <c r="E22" s="36">
        <v>15</v>
      </c>
      <c r="F22" s="192">
        <f>IFERROR(VLOOKUP(A22,ListaIngredientes!$A$5:$F$155,6,FALSE),"")</f>
        <v>0.59899999999999998</v>
      </c>
      <c r="G22" s="192"/>
      <c r="H22" s="34">
        <f t="shared" si="0"/>
        <v>8.9849999999999994</v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58">
        <f>SUM(H8:H27)</f>
        <v>140.04145196078434</v>
      </c>
    </row>
    <row r="30" spans="1:8" ht="15.75" x14ac:dyDescent="0.25">
      <c r="A30" s="30"/>
      <c r="B30" s="30"/>
      <c r="C30" s="30"/>
      <c r="D30" s="31"/>
      <c r="E30" s="32"/>
      <c r="F30" s="30"/>
      <c r="G30" s="30"/>
      <c r="H30" s="30"/>
    </row>
  </sheetData>
  <mergeCells count="66">
    <mergeCell ref="A4:B4"/>
    <mergeCell ref="A3:B3"/>
    <mergeCell ref="C4:D4"/>
    <mergeCell ref="A5:B5"/>
    <mergeCell ref="C5:D5"/>
    <mergeCell ref="E5:F5"/>
    <mergeCell ref="C3:D3"/>
    <mergeCell ref="E3:F3"/>
    <mergeCell ref="G3:H3"/>
    <mergeCell ref="E4:F4"/>
    <mergeCell ref="G4:H4"/>
    <mergeCell ref="G5:H5"/>
    <mergeCell ref="A2:B2"/>
    <mergeCell ref="C1:D1"/>
    <mergeCell ref="E1:F1"/>
    <mergeCell ref="G1:H1"/>
    <mergeCell ref="C2:D2"/>
    <mergeCell ref="E2:F2"/>
    <mergeCell ref="G2:H2"/>
    <mergeCell ref="B17:C17"/>
    <mergeCell ref="E6:F6"/>
    <mergeCell ref="G6:H6"/>
    <mergeCell ref="F11:G11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A6:B6"/>
    <mergeCell ref="C6:D6"/>
    <mergeCell ref="B27:C27"/>
    <mergeCell ref="F27:G27"/>
    <mergeCell ref="B12:C12"/>
    <mergeCell ref="F12:G12"/>
    <mergeCell ref="B13:C13"/>
    <mergeCell ref="F13:G13"/>
    <mergeCell ref="B14:C14"/>
    <mergeCell ref="F14:G14"/>
    <mergeCell ref="B19:C19"/>
    <mergeCell ref="F19:G19"/>
    <mergeCell ref="B20:C20"/>
    <mergeCell ref="F20:G20"/>
    <mergeCell ref="B18:C18"/>
    <mergeCell ref="B15:C15"/>
    <mergeCell ref="F17:G17"/>
    <mergeCell ref="B16:C16"/>
    <mergeCell ref="F18:G18"/>
    <mergeCell ref="F15:G15"/>
    <mergeCell ref="F28:G28"/>
    <mergeCell ref="F16:G16"/>
    <mergeCell ref="B21:C21"/>
    <mergeCell ref="F21:G21"/>
    <mergeCell ref="B25:C25"/>
    <mergeCell ref="F25:G25"/>
    <mergeCell ref="F26:G26"/>
    <mergeCell ref="B22:C22"/>
    <mergeCell ref="F22:G22"/>
    <mergeCell ref="B23:C23"/>
    <mergeCell ref="F23:G23"/>
    <mergeCell ref="B24:C24"/>
    <mergeCell ref="F24:G24"/>
    <mergeCell ref="B26:C26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workbookViewId="0">
      <selection activeCell="I19" sqref="I19"/>
    </sheetView>
  </sheetViews>
  <sheetFormatPr defaultRowHeight="15" x14ac:dyDescent="0.25"/>
  <cols>
    <col min="3" max="3" width="11.8554687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5.2173974358974347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17.39132478632478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5.2173974358974347</v>
      </c>
      <c r="D3" s="213"/>
      <c r="E3" s="202" t="s">
        <v>284</v>
      </c>
      <c r="F3" s="202"/>
      <c r="G3" s="213">
        <f>G2*C5</f>
        <v>8.6956623931623902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0.45217350427350439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67.826166666666651</v>
      </c>
      <c r="D6" s="205"/>
      <c r="E6" s="204" t="s">
        <v>283</v>
      </c>
      <c r="F6" s="204"/>
      <c r="G6" s="213">
        <f>G5*G4</f>
        <v>6.7826025641025662</v>
      </c>
      <c r="H6" s="216"/>
    </row>
    <row r="7" spans="1:8" ht="17.25" thickTop="1" thickBot="1" x14ac:dyDescent="0.3">
      <c r="A7" s="46" t="s">
        <v>5</v>
      </c>
      <c r="B7" s="195" t="s">
        <v>9</v>
      </c>
      <c r="C7" s="196"/>
      <c r="D7" s="46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7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143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7</v>
      </c>
      <c r="F9" s="192">
        <f>IFERROR(VLOOKUP(A9,ListaIngredientes!$A$5:$F$155,6,FALSE),"")</f>
        <v>0</v>
      </c>
      <c r="G9" s="192"/>
      <c r="H9" s="34">
        <f t="shared" ref="H9:H28" si="0">IFERROR(E9*F9,"")</f>
        <v>0</v>
      </c>
    </row>
    <row r="10" spans="1:8" ht="20.25" thickTop="1" thickBot="1" x14ac:dyDescent="0.35">
      <c r="A10" s="33">
        <v>182</v>
      </c>
      <c r="B10" s="190" t="str">
        <f>IFERROR(VLOOKUP(A10,ListaIngredientes!$A$5:$F$155,2,FALSE),"")</f>
        <v>GERGILIM</v>
      </c>
      <c r="C10" s="191"/>
      <c r="D10" s="35" t="str">
        <f>IFERROR(VLOOKUP(A10,Tabela2[],3,FALSE),"")</f>
        <v>KG</v>
      </c>
      <c r="E10" s="36">
        <v>3</v>
      </c>
      <c r="F10" s="192">
        <f>IFERROR(VLOOKUP(A10,ListaIngredientes!$A$5:$F$155,6,FALSE),"")</f>
        <v>2.9000000000000001E-2</v>
      </c>
      <c r="G10" s="192"/>
      <c r="H10" s="34">
        <f t="shared" si="0"/>
        <v>8.7000000000000008E-2</v>
      </c>
    </row>
    <row r="11" spans="1:8" ht="20.25" thickTop="1" thickBot="1" x14ac:dyDescent="0.35">
      <c r="A11" s="33">
        <v>194</v>
      </c>
      <c r="B11" s="190" t="str">
        <f>IFERROR(VLOOKUP(A11,ListaIngredientes!$A$5:$F$155,2,FALSE),"")</f>
        <v>Maçã</v>
      </c>
      <c r="C11" s="191"/>
      <c r="D11" s="35" t="str">
        <f>IFERROR(VLOOKUP(A11,Tabela2[],3,FALSE),"")</f>
        <v>kg</v>
      </c>
      <c r="E11" s="36">
        <v>50</v>
      </c>
      <c r="F11" s="192">
        <f>IFERROR(VLOOKUP(A11,ListaIngredientes!$A$5:$F$155,6,FALSE),"")</f>
        <v>3.9900000000000005E-3</v>
      </c>
      <c r="G11" s="192"/>
      <c r="H11" s="34">
        <f t="shared" si="0"/>
        <v>0.19950000000000001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160</v>
      </c>
      <c r="F12" s="192">
        <f>IFERROR(VLOOKUP(A12,ListaIngredientes!$A$5:$F$155,6,FALSE),"")</f>
        <v>9.9666666666666667E-2</v>
      </c>
      <c r="G12" s="192"/>
      <c r="H12" s="34">
        <f t="shared" si="0"/>
        <v>15.946666666666667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15</v>
      </c>
      <c r="F13" s="192">
        <f>IFERROR(VLOOKUP(A13,ListaIngredientes!$A$5:$F$155,6,FALSE),"")</f>
        <v>2.59</v>
      </c>
      <c r="G13" s="192"/>
      <c r="H13" s="34">
        <f t="shared" si="0"/>
        <v>38.849999999999994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30</v>
      </c>
      <c r="F14" s="192">
        <f>IFERROR(VLOOKUP(A14,ListaIngredientes!$A$5:$F$155,6,FALSE),"")</f>
        <v>6.3E-2</v>
      </c>
      <c r="G14" s="192"/>
      <c r="H14" s="34">
        <f t="shared" si="0"/>
        <v>1.8900000000000001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2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162</v>
      </c>
      <c r="B16" s="190" t="str">
        <f>IFERROR(VLOOKUP(A16,ListaIngredientes!$A$5:$F$155,2,FALSE),"")</f>
        <v>farinha de linhaça dourada</v>
      </c>
      <c r="C16" s="191"/>
      <c r="D16" s="35" t="str">
        <f>IFERROR(VLOOKUP(A16,Tabela2[],3,FALSE),"")</f>
        <v>kg</v>
      </c>
      <c r="E16" s="36">
        <v>300</v>
      </c>
      <c r="F16" s="192">
        <f>IFERROR(VLOOKUP(A16,ListaIngredientes!$A$5:$F$155,6,FALSE),"")</f>
        <v>2.4989999999999998E-2</v>
      </c>
      <c r="G16" s="192"/>
      <c r="H16" s="34">
        <f t="shared" si="0"/>
        <v>7.4969999999999999</v>
      </c>
    </row>
    <row r="17" spans="1:8" ht="20.25" thickTop="1" thickBot="1" x14ac:dyDescent="0.35">
      <c r="A17" s="33">
        <v>219</v>
      </c>
      <c r="B17" s="190" t="str">
        <f>IFERROR(VLOOKUP(A17,ListaIngredientes!$A$5:$F$155,2,FALSE),"")</f>
        <v>Queijo Minas</v>
      </c>
      <c r="C17" s="191"/>
      <c r="D17" s="35" t="str">
        <f>IFERROR(VLOOKUP(A17,Tabela2[],3,FALSE),"")</f>
        <v>g</v>
      </c>
      <c r="E17" s="36">
        <v>100</v>
      </c>
      <c r="F17" s="192">
        <f>IFERROR(VLOOKUP(A17,ListaIngredientes!$A$5:$F$155,6,FALSE),"")</f>
        <v>1.5299999999999999E-2</v>
      </c>
      <c r="G17" s="192"/>
      <c r="H17" s="34">
        <f t="shared" si="0"/>
        <v>1.53</v>
      </c>
    </row>
    <row r="18" spans="1:8" ht="20.25" thickTop="1" thickBot="1" x14ac:dyDescent="0.35">
      <c r="A18" s="33">
        <v>232</v>
      </c>
      <c r="B18" s="190" t="str">
        <f>IFERROR(VLOOKUP(A18,ListaIngredientes!$A$5:$F$155,2,FALSE),"")</f>
        <v>xilitol</v>
      </c>
      <c r="C18" s="191"/>
      <c r="D18" s="35" t="str">
        <f>IFERROR(VLOOKUP(A18,Tabela2[],3,FALSE),"")</f>
        <v>kg</v>
      </c>
      <c r="E18" s="36">
        <v>50</v>
      </c>
      <c r="F18" s="192">
        <f>IFERROR(VLOOKUP(A18,ListaIngredientes!$A$5:$F$155,6,FALSE),"")</f>
        <v>3.6520000000000004E-2</v>
      </c>
      <c r="G18" s="192"/>
      <c r="H18" s="34">
        <f t="shared" si="0"/>
        <v>1.8260000000000003</v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67.826166666666651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9"/>
  <sheetViews>
    <sheetView workbookViewId="0">
      <selection activeCell="I19" sqref="I19"/>
    </sheetView>
  </sheetViews>
  <sheetFormatPr defaultRowHeight="15" x14ac:dyDescent="0.25"/>
  <cols>
    <col min="8" max="8" width="16.8554687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4.8047435897435893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16.015811965811963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4.8047435897435893</v>
      </c>
      <c r="D3" s="213"/>
      <c r="E3" s="202" t="s">
        <v>284</v>
      </c>
      <c r="F3" s="202"/>
      <c r="G3" s="213">
        <f>G2*C5</f>
        <v>8.0079059829059815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0.47968376068376067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62.461666666666659</v>
      </c>
      <c r="D6" s="205"/>
      <c r="E6" s="204" t="s">
        <v>283</v>
      </c>
      <c r="F6" s="204"/>
      <c r="G6" s="213">
        <f>G5*G4</f>
        <v>7.1952564102564098</v>
      </c>
      <c r="H6" s="216"/>
    </row>
    <row r="7" spans="1:8" ht="17.25" thickTop="1" thickBot="1" x14ac:dyDescent="0.3">
      <c r="A7" s="90" t="s">
        <v>5</v>
      </c>
      <c r="B7" s="195" t="s">
        <v>9</v>
      </c>
      <c r="C7" s="196"/>
      <c r="D7" s="9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7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143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7</v>
      </c>
      <c r="F9" s="192">
        <f>IFERROR(VLOOKUP(A9,ListaIngredientes!$A$5:$F$155,6,FALSE),"")</f>
        <v>0</v>
      </c>
      <c r="G9" s="192"/>
      <c r="H9" s="34">
        <f t="shared" ref="H9:H28" si="0">IFERROR(E9*F9,"")</f>
        <v>0</v>
      </c>
    </row>
    <row r="10" spans="1:8" ht="20.25" thickTop="1" thickBot="1" x14ac:dyDescent="0.35">
      <c r="A10" s="33">
        <v>182</v>
      </c>
      <c r="B10" s="190" t="str">
        <f>IFERROR(VLOOKUP(A10,ListaIngredientes!$A$5:$F$155,2,FALSE),"")</f>
        <v>GERGILIM</v>
      </c>
      <c r="C10" s="191"/>
      <c r="D10" s="35" t="str">
        <f>IFERROR(VLOOKUP(A10,Tabela2[],3,FALSE),"")</f>
        <v>KG</v>
      </c>
      <c r="E10" s="36">
        <v>3</v>
      </c>
      <c r="F10" s="192">
        <f>IFERROR(VLOOKUP(A10,ListaIngredientes!$A$5:$F$155,6,FALSE),"")</f>
        <v>2.9000000000000001E-2</v>
      </c>
      <c r="G10" s="192"/>
      <c r="H10" s="34">
        <f t="shared" si="0"/>
        <v>8.7000000000000008E-2</v>
      </c>
    </row>
    <row r="11" spans="1:8" ht="20.25" thickTop="1" thickBot="1" x14ac:dyDescent="0.35">
      <c r="A11" s="33">
        <v>194</v>
      </c>
      <c r="B11" s="190" t="str">
        <f>IFERROR(VLOOKUP(A11,ListaIngredientes!$A$5:$F$155,2,FALSE),"")</f>
        <v>Maçã</v>
      </c>
      <c r="C11" s="191"/>
      <c r="D11" s="35" t="str">
        <f>IFERROR(VLOOKUP(A11,Tabela2[],3,FALSE),"")</f>
        <v>kg</v>
      </c>
      <c r="E11" s="36">
        <v>50</v>
      </c>
      <c r="F11" s="192">
        <f>IFERROR(VLOOKUP(A11,ListaIngredientes!$A$5:$F$155,6,FALSE),"")</f>
        <v>3.9900000000000005E-3</v>
      </c>
      <c r="G11" s="192"/>
      <c r="H11" s="34">
        <f t="shared" si="0"/>
        <v>0.19950000000000001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160</v>
      </c>
      <c r="F12" s="192">
        <f>IFERROR(VLOOKUP(A12,ListaIngredientes!$A$5:$F$155,6,FALSE),"")</f>
        <v>9.9666666666666667E-2</v>
      </c>
      <c r="G12" s="192"/>
      <c r="H12" s="34">
        <f t="shared" si="0"/>
        <v>15.946666666666667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15</v>
      </c>
      <c r="F13" s="192">
        <f>IFERROR(VLOOKUP(A13,ListaIngredientes!$A$5:$F$155,6,FALSE),"")</f>
        <v>2.59</v>
      </c>
      <c r="G13" s="192"/>
      <c r="H13" s="34">
        <f t="shared" si="0"/>
        <v>38.849999999999994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30</v>
      </c>
      <c r="F14" s="192">
        <f>IFERROR(VLOOKUP(A14,ListaIngredientes!$A$5:$F$155,6,FALSE),"")</f>
        <v>6.3E-2</v>
      </c>
      <c r="G14" s="192"/>
      <c r="H14" s="34">
        <f t="shared" si="0"/>
        <v>1.8900000000000001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1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114</v>
      </c>
      <c r="B16" s="190" t="str">
        <f>IFERROR(VLOOKUP(A16,ListaIngredientes!$A$5:$F$155,2,FALSE),"")</f>
        <v>fecula</v>
      </c>
      <c r="C16" s="191"/>
      <c r="D16" s="35" t="str">
        <f>IFERROR(VLOOKUP(A16,Tabela2[],3,FALSE),"")</f>
        <v>kg</v>
      </c>
      <c r="E16" s="36">
        <v>210</v>
      </c>
      <c r="F16" s="192">
        <f>IFERROR(VLOOKUP(A16,ListaIngredientes!$A$5:$F$155,6,FALSE),"")</f>
        <v>0.01</v>
      </c>
      <c r="G16" s="192"/>
      <c r="H16" s="34">
        <f t="shared" si="0"/>
        <v>2.1</v>
      </c>
    </row>
    <row r="17" spans="1:8" ht="20.25" thickTop="1" thickBot="1" x14ac:dyDescent="0.35">
      <c r="A17" s="33">
        <v>219</v>
      </c>
      <c r="B17" s="190" t="str">
        <f>IFERROR(VLOOKUP(A17,ListaIngredientes!$A$5:$F$155,2,FALSE),"")</f>
        <v>Queijo Minas</v>
      </c>
      <c r="C17" s="191"/>
      <c r="D17" s="35" t="str">
        <f>IFERROR(VLOOKUP(A17,Tabela2[],3,FALSE),"")</f>
        <v>g</v>
      </c>
      <c r="E17" s="36">
        <v>100</v>
      </c>
      <c r="F17" s="192">
        <f>IFERROR(VLOOKUP(A17,ListaIngredientes!$A$5:$F$155,6,FALSE),"")</f>
        <v>1.5299999999999999E-2</v>
      </c>
      <c r="G17" s="192"/>
      <c r="H17" s="34">
        <f t="shared" si="0"/>
        <v>1.53</v>
      </c>
    </row>
    <row r="18" spans="1:8" ht="20.25" thickTop="1" thickBot="1" x14ac:dyDescent="0.35">
      <c r="A18" s="33">
        <v>232</v>
      </c>
      <c r="B18" s="190" t="str">
        <f>IFERROR(VLOOKUP(A18,ListaIngredientes!$A$5:$F$155,2,FALSE),"")</f>
        <v>xilitol</v>
      </c>
      <c r="C18" s="191"/>
      <c r="D18" s="35" t="str">
        <f>IFERROR(VLOOKUP(A18,Tabela2[],3,FALSE),"")</f>
        <v>kg</v>
      </c>
      <c r="E18" s="36">
        <v>50</v>
      </c>
      <c r="F18" s="192">
        <f>IFERROR(VLOOKUP(A18,ListaIngredientes!$A$5:$F$155,6,FALSE),"")</f>
        <v>3.6520000000000004E-2</v>
      </c>
      <c r="G18" s="192"/>
      <c r="H18" s="34">
        <f t="shared" si="0"/>
        <v>1.8260000000000003</v>
      </c>
    </row>
    <row r="19" spans="1:8" ht="20.25" thickTop="1" thickBot="1" x14ac:dyDescent="0.35">
      <c r="A19" s="33">
        <v>115</v>
      </c>
      <c r="B19" s="190" t="str">
        <f>IFERROR(VLOOKUP(A19,ListaIngredientes!$A$5:$F$155,2,FALSE),"")</f>
        <v>CAMARÃO</v>
      </c>
      <c r="C19" s="191"/>
      <c r="D19" s="35" t="str">
        <f>IFERROR(VLOOKUP(A19,Tabela2[],3,FALSE),"")</f>
        <v>KG</v>
      </c>
      <c r="E19" s="36">
        <v>0.5</v>
      </c>
      <c r="F19" s="192">
        <f>IFERROR(VLOOKUP(A19,ListaIngredientes!$A$5:$F$155,6,FALSE),"")</f>
        <v>6.5000000000000002E-2</v>
      </c>
      <c r="G19" s="192"/>
      <c r="H19" s="34">
        <f t="shared" si="0"/>
        <v>3.2500000000000001E-2</v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62.461666666666659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9"/>
  <sheetViews>
    <sheetView workbookViewId="0">
      <selection activeCell="I19" sqref="I19"/>
    </sheetView>
  </sheetViews>
  <sheetFormatPr defaultRowHeight="15" x14ac:dyDescent="0.25"/>
  <cols>
    <col min="8" max="8" width="15.140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4.8022435897435889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16.007478632478627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4.8022435897435889</v>
      </c>
      <c r="D3" s="213"/>
      <c r="E3" s="202" t="s">
        <v>284</v>
      </c>
      <c r="F3" s="202"/>
      <c r="G3" s="213">
        <f>G2*C5</f>
        <v>8.0037393162393133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0.47985042735042732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62.42916666666666</v>
      </c>
      <c r="D6" s="205"/>
      <c r="E6" s="204" t="s">
        <v>283</v>
      </c>
      <c r="F6" s="204"/>
      <c r="G6" s="213">
        <f>G5*G4</f>
        <v>7.1977564102564102</v>
      </c>
      <c r="H6" s="216"/>
    </row>
    <row r="7" spans="1:8" ht="17.25" thickTop="1" thickBot="1" x14ac:dyDescent="0.3">
      <c r="A7" s="90" t="s">
        <v>5</v>
      </c>
      <c r="B7" s="195" t="s">
        <v>9</v>
      </c>
      <c r="C7" s="196"/>
      <c r="D7" s="9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7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143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7</v>
      </c>
      <c r="F9" s="192">
        <f>IFERROR(VLOOKUP(A9,ListaIngredientes!$A$5:$F$155,6,FALSE),"")</f>
        <v>0</v>
      </c>
      <c r="G9" s="192"/>
      <c r="H9" s="34">
        <f t="shared" ref="H9:H27" si="0">IFERROR(E9*F9,"")</f>
        <v>0</v>
      </c>
    </row>
    <row r="10" spans="1:8" ht="20.25" thickTop="1" thickBot="1" x14ac:dyDescent="0.35">
      <c r="A10" s="33">
        <v>182</v>
      </c>
      <c r="B10" s="190" t="str">
        <f>IFERROR(VLOOKUP(A10,ListaIngredientes!$A$5:$F$155,2,FALSE),"")</f>
        <v>GERGILIM</v>
      </c>
      <c r="C10" s="191"/>
      <c r="D10" s="35" t="str">
        <f>IFERROR(VLOOKUP(A10,Tabela2[],3,FALSE),"")</f>
        <v>KG</v>
      </c>
      <c r="E10" s="36">
        <v>3</v>
      </c>
      <c r="F10" s="192">
        <f>IFERROR(VLOOKUP(A10,ListaIngredientes!$A$5:$F$155,6,FALSE),"")</f>
        <v>2.9000000000000001E-2</v>
      </c>
      <c r="G10" s="192"/>
      <c r="H10" s="34">
        <f t="shared" si="0"/>
        <v>8.7000000000000008E-2</v>
      </c>
    </row>
    <row r="11" spans="1:8" ht="20.25" thickTop="1" thickBot="1" x14ac:dyDescent="0.35">
      <c r="A11" s="33">
        <v>194</v>
      </c>
      <c r="B11" s="190" t="str">
        <f>IFERROR(VLOOKUP(A11,ListaIngredientes!$A$5:$F$155,2,FALSE),"")</f>
        <v>Maçã</v>
      </c>
      <c r="C11" s="191"/>
      <c r="D11" s="35" t="str">
        <f>IFERROR(VLOOKUP(A11,Tabela2[],3,FALSE),"")</f>
        <v>kg</v>
      </c>
      <c r="E11" s="36">
        <v>50</v>
      </c>
      <c r="F11" s="192">
        <f>IFERROR(VLOOKUP(A11,ListaIngredientes!$A$5:$F$155,6,FALSE),"")</f>
        <v>3.9900000000000005E-3</v>
      </c>
      <c r="G11" s="192"/>
      <c r="H11" s="34">
        <f t="shared" si="0"/>
        <v>0.19950000000000001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160</v>
      </c>
      <c r="F12" s="192">
        <f>IFERROR(VLOOKUP(A12,ListaIngredientes!$A$5:$F$155,6,FALSE),"")</f>
        <v>9.9666666666666667E-2</v>
      </c>
      <c r="G12" s="192"/>
      <c r="H12" s="34">
        <f t="shared" si="0"/>
        <v>15.946666666666667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15</v>
      </c>
      <c r="F13" s="192">
        <f>IFERROR(VLOOKUP(A13,ListaIngredientes!$A$5:$F$155,6,FALSE),"")</f>
        <v>2.59</v>
      </c>
      <c r="G13" s="192"/>
      <c r="H13" s="34">
        <f t="shared" si="0"/>
        <v>38.849999999999994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30</v>
      </c>
      <c r="F14" s="192">
        <f>IFERROR(VLOOKUP(A14,ListaIngredientes!$A$5:$F$155,6,FALSE),"")</f>
        <v>6.3E-2</v>
      </c>
      <c r="G14" s="192"/>
      <c r="H14" s="34">
        <f t="shared" si="0"/>
        <v>1.8900000000000001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1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113</v>
      </c>
      <c r="B16" s="190" t="str">
        <f>IFERROR(VLOOKUP(A16,ListaIngredientes!$A$5:$F$155,2,FALSE),"")</f>
        <v>polvilho doce</v>
      </c>
      <c r="C16" s="191"/>
      <c r="D16" s="35" t="str">
        <f>IFERROR(VLOOKUP(A16,Tabela2[],3,FALSE),"")</f>
        <v>kg</v>
      </c>
      <c r="E16" s="36">
        <v>210</v>
      </c>
      <c r="F16" s="192">
        <f>IFERROR(VLOOKUP(A16,ListaIngredientes!$A$5:$F$155,6,FALSE),"")</f>
        <v>0.01</v>
      </c>
      <c r="G16" s="192"/>
      <c r="H16" s="34">
        <f t="shared" si="0"/>
        <v>2.1</v>
      </c>
    </row>
    <row r="17" spans="1:8" ht="20.25" thickTop="1" thickBot="1" x14ac:dyDescent="0.35">
      <c r="A17" s="33">
        <v>219</v>
      </c>
      <c r="B17" s="190" t="str">
        <f>IFERROR(VLOOKUP(A17,ListaIngredientes!$A$5:$F$155,2,FALSE),"")</f>
        <v>Queijo Minas</v>
      </c>
      <c r="C17" s="191"/>
      <c r="D17" s="35" t="str">
        <f>IFERROR(VLOOKUP(A17,Tabela2[],3,FALSE),"")</f>
        <v>g</v>
      </c>
      <c r="E17" s="36">
        <v>100</v>
      </c>
      <c r="F17" s="192">
        <f>IFERROR(VLOOKUP(A17,ListaIngredientes!$A$5:$F$155,6,FALSE),"")</f>
        <v>1.5299999999999999E-2</v>
      </c>
      <c r="G17" s="192"/>
      <c r="H17" s="34">
        <f t="shared" si="0"/>
        <v>1.53</v>
      </c>
    </row>
    <row r="18" spans="1:8" ht="20.25" thickTop="1" thickBot="1" x14ac:dyDescent="0.35">
      <c r="A18" s="33">
        <v>232</v>
      </c>
      <c r="B18" s="190" t="str">
        <f>IFERROR(VLOOKUP(A18,ListaIngredientes!$A$5:$F$155,2,FALSE),"")</f>
        <v>xilitol</v>
      </c>
      <c r="C18" s="191"/>
      <c r="D18" s="35" t="str">
        <f>IFERROR(VLOOKUP(A18,Tabela2[],3,FALSE),"")</f>
        <v>kg</v>
      </c>
      <c r="E18" s="36">
        <v>50</v>
      </c>
      <c r="F18" s="192">
        <f>IFERROR(VLOOKUP(A18,ListaIngredientes!$A$5:$F$155,6,FALSE),"")</f>
        <v>3.6520000000000004E-2</v>
      </c>
      <c r="G18" s="192"/>
      <c r="H18" s="34">
        <f t="shared" si="0"/>
        <v>1.8260000000000003</v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40"/>
    </row>
    <row r="29" spans="1:8" ht="15.75" thickTop="1" x14ac:dyDescent="0.25"/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9"/>
  <sheetViews>
    <sheetView workbookViewId="0">
      <selection activeCell="I19" sqref="I19"/>
    </sheetView>
  </sheetViews>
  <sheetFormatPr defaultRowHeight="15" x14ac:dyDescent="0.25"/>
  <cols>
    <col min="2" max="2" width="14.8554687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3.9783710407239825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13.261236802413274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3.9783710407239825</v>
      </c>
      <c r="D3" s="213"/>
      <c r="E3" s="202" t="s">
        <v>284</v>
      </c>
      <c r="F3" s="202"/>
      <c r="G3" s="213">
        <f>G2*C5</f>
        <v>6.6306184012066369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0.53477526395173447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51.718823529411772</v>
      </c>
      <c r="D6" s="205"/>
      <c r="E6" s="204" t="s">
        <v>283</v>
      </c>
      <c r="F6" s="204"/>
      <c r="G6" s="213">
        <f>G5*G4</f>
        <v>8.0216289592760166</v>
      </c>
      <c r="H6" s="216"/>
    </row>
    <row r="7" spans="1:8" ht="17.25" thickTop="1" thickBot="1" x14ac:dyDescent="0.3">
      <c r="A7" s="46" t="s">
        <v>5</v>
      </c>
      <c r="B7" s="195" t="s">
        <v>9</v>
      </c>
      <c r="C7" s="196"/>
      <c r="D7" s="46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154</v>
      </c>
      <c r="B9" s="190" t="str">
        <f>IFERROR(VLOOKUP(A9,ListaIngredientes!$A$5:$F$155,2,FALSE),"")</f>
        <v>embalagem GALVANOTEC G645</v>
      </c>
      <c r="C9" s="191"/>
      <c r="D9" s="35" t="str">
        <f>IFERROR(VLOOKUP(A9,Tabela2[],3,FALSE),"")</f>
        <v>u</v>
      </c>
      <c r="E9" s="36">
        <v>12</v>
      </c>
      <c r="F9" s="192">
        <f>IFERROR(VLOOKUP(A9,ListaIngredientes!$A$5:$F$155,6,FALSE),"")</f>
        <v>0.8</v>
      </c>
      <c r="G9" s="192"/>
      <c r="H9" s="34">
        <f t="shared" ref="H9:H28" si="0">IFERROR(E9*F9,"")</f>
        <v>9.6000000000000014</v>
      </c>
    </row>
    <row r="10" spans="1:8" ht="20.25" thickTop="1" thickBot="1" x14ac:dyDescent="0.35">
      <c r="A10" s="33">
        <v>203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7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158</v>
      </c>
      <c r="B11" s="190" t="str">
        <f>IFERROR(VLOOKUP(A11,ListaIngredientes!$A$5:$F$155,2,FALSE),"")</f>
        <v>ESSENCIA DE BAUNILHA</v>
      </c>
      <c r="C11" s="191"/>
      <c r="D11" s="35" t="str">
        <f>IFERROR(VLOOKUP(A11,Tabela2[],3,FALSE),"")</f>
        <v>ML</v>
      </c>
      <c r="E11" s="36">
        <v>240</v>
      </c>
      <c r="F11" s="192">
        <f>IFERROR(VLOOKUP(A11,ListaIngredientes!$A$5:$F$155,6,FALSE),"")</f>
        <v>9.9666666666666667E-2</v>
      </c>
      <c r="G11" s="192"/>
      <c r="H11" s="34">
        <f t="shared" si="0"/>
        <v>23.92</v>
      </c>
    </row>
    <row r="12" spans="1:8" ht="20.25" thickTop="1" thickBot="1" x14ac:dyDescent="0.35">
      <c r="A12" s="33">
        <v>160</v>
      </c>
      <c r="B12" s="190" t="str">
        <f>IFERROR(VLOOKUP(A12,ListaIngredientes!$A$5:$F$155,2,FALSE),"")</f>
        <v>farinha de amendoas</v>
      </c>
      <c r="C12" s="191"/>
      <c r="D12" s="35" t="str">
        <f>IFERROR(VLOOKUP(A12,Tabela2[],3,FALSE),"")</f>
        <v>kg</v>
      </c>
      <c r="E12" s="36">
        <v>30</v>
      </c>
      <c r="F12" s="192">
        <f>IFERROR(VLOOKUP(A12,ListaIngredientes!$A$5:$F$155,6,FALSE),"")</f>
        <v>6.3E-2</v>
      </c>
      <c r="G12" s="192"/>
      <c r="H12" s="34">
        <f t="shared" si="0"/>
        <v>1.8900000000000001</v>
      </c>
    </row>
    <row r="13" spans="1:8" ht="20.25" thickTop="1" thickBot="1" x14ac:dyDescent="0.35">
      <c r="A13" s="33">
        <v>194</v>
      </c>
      <c r="B13" s="190" t="str">
        <f>IFERROR(VLOOKUP(A13,ListaIngredientes!$A$5:$F$155,2,FALSE),"")</f>
        <v>Maçã</v>
      </c>
      <c r="C13" s="191"/>
      <c r="D13" s="35" t="str">
        <f>IFERROR(VLOOKUP(A13,Tabela2[],3,FALSE),"")</f>
        <v>kg</v>
      </c>
      <c r="E13" s="36">
        <v>100</v>
      </c>
      <c r="F13" s="192">
        <f>IFERROR(VLOOKUP(A13,ListaIngredientes!$A$5:$F$155,6,FALSE),"")</f>
        <v>3.9900000000000005E-3</v>
      </c>
      <c r="G13" s="192"/>
      <c r="H13" s="34">
        <f t="shared" si="0"/>
        <v>0.39900000000000002</v>
      </c>
    </row>
    <row r="14" spans="1:8" ht="20.25" thickTop="1" thickBot="1" x14ac:dyDescent="0.35">
      <c r="A14" s="33">
        <v>219</v>
      </c>
      <c r="B14" s="190" t="str">
        <f>IFERROR(VLOOKUP(A14,ListaIngredientes!$A$5:$F$155,2,FALSE),"")</f>
        <v>Queijo Minas</v>
      </c>
      <c r="C14" s="191"/>
      <c r="D14" s="35" t="str">
        <f>IFERROR(VLOOKUP(A14,Tabela2[],3,FALSE),"")</f>
        <v>g</v>
      </c>
      <c r="E14" s="36">
        <v>100</v>
      </c>
      <c r="F14" s="192">
        <f>IFERROR(VLOOKUP(A14,ListaIngredientes!$A$5:$F$155,6,FALSE),"")</f>
        <v>1.5299999999999999E-2</v>
      </c>
      <c r="G14" s="192"/>
      <c r="H14" s="34">
        <f t="shared" si="0"/>
        <v>1.53</v>
      </c>
    </row>
    <row r="15" spans="1:8" ht="20.25" thickTop="1" thickBot="1" x14ac:dyDescent="0.35">
      <c r="A15" s="33">
        <v>139</v>
      </c>
      <c r="B15" s="190" t="str">
        <f>IFERROR(VLOOKUP(A15,ListaIngredientes!$A$5:$F$155,2,FALSE),"")</f>
        <v>cravo da india</v>
      </c>
      <c r="C15" s="191"/>
      <c r="D15" s="35" t="str">
        <f>IFERROR(VLOOKUP(A15,Tabela2[],3,FALSE),"")</f>
        <v>g</v>
      </c>
      <c r="E15" s="36">
        <v>100</v>
      </c>
      <c r="F15" s="192">
        <f>IFERROR(VLOOKUP(A15,ListaIngredientes!$A$5:$F$155,6,FALSE),"")</f>
        <v>5.8823529411764701E-4</v>
      </c>
      <c r="G15" s="192"/>
      <c r="H15" s="34">
        <f t="shared" si="0"/>
        <v>5.8823529411764698E-2</v>
      </c>
    </row>
    <row r="16" spans="1:8" ht="20.25" thickTop="1" thickBot="1" x14ac:dyDescent="0.35">
      <c r="A16" s="33">
        <v>162</v>
      </c>
      <c r="B16" s="190" t="str">
        <f>IFERROR(VLOOKUP(A16,ListaIngredientes!$A$5:$F$155,2,FALSE),"")</f>
        <v>farinha de linhaça dourada</v>
      </c>
      <c r="C16" s="191"/>
      <c r="D16" s="35" t="str">
        <f>IFERROR(VLOOKUP(A16,Tabela2[],3,FALSE),"")</f>
        <v>kg</v>
      </c>
      <c r="E16" s="36">
        <v>500</v>
      </c>
      <c r="F16" s="192">
        <f>IFERROR(VLOOKUP(A16,ListaIngredientes!$A$5:$F$155,6,FALSE),"")</f>
        <v>2.4989999999999998E-2</v>
      </c>
      <c r="G16" s="192"/>
      <c r="H16" s="34">
        <f t="shared" si="0"/>
        <v>12.494999999999999</v>
      </c>
    </row>
    <row r="17" spans="1:8" ht="20.25" thickTop="1" thickBot="1" x14ac:dyDescent="0.35">
      <c r="A17" s="33">
        <v>232</v>
      </c>
      <c r="B17" s="190" t="str">
        <f>IFERROR(VLOOKUP(A17,ListaIngredientes!$A$5:$F$155,2,FALSE),"")</f>
        <v>xilitol</v>
      </c>
      <c r="C17" s="191"/>
      <c r="D17" s="35" t="str">
        <f>IFERROR(VLOOKUP(A17,Tabela2[],3,FALSE),"")</f>
        <v>kg</v>
      </c>
      <c r="E17" s="36">
        <v>50</v>
      </c>
      <c r="F17" s="192">
        <f>IFERROR(VLOOKUP(A17,ListaIngredientes!$A$5:$F$155,6,FALSE),"")</f>
        <v>3.6520000000000004E-2</v>
      </c>
      <c r="G17" s="192"/>
      <c r="H17" s="34">
        <f t="shared" si="0"/>
        <v>1.8260000000000003</v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51.718823529411772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8"/>
  <sheetViews>
    <sheetView workbookViewId="0">
      <selection activeCell="I19" sqref="I19"/>
    </sheetView>
  </sheetViews>
  <sheetFormatPr defaultRowHeight="15" x14ac:dyDescent="0.25"/>
  <cols>
    <col min="2" max="2" width="18.7109375" customWidth="1"/>
    <col min="4" max="4" width="11.285156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7.5228959276018124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25.076319758672703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7.5228959276018124</v>
      </c>
      <c r="D3" s="213"/>
      <c r="E3" s="202" t="s">
        <v>284</v>
      </c>
      <c r="F3" s="202"/>
      <c r="G3" s="213">
        <f>G2*C5</f>
        <v>12.538159879336352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0.29847360482654578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97.797647058823557</v>
      </c>
      <c r="D6" s="205"/>
      <c r="E6" s="204" t="s">
        <v>283</v>
      </c>
      <c r="F6" s="204"/>
      <c r="G6" s="213">
        <f>G5*G4</f>
        <v>4.4771040723981868</v>
      </c>
      <c r="H6" s="216"/>
    </row>
    <row r="7" spans="1:8" ht="17.25" thickTop="1" thickBot="1" x14ac:dyDescent="0.3">
      <c r="A7" s="53" t="s">
        <v>5</v>
      </c>
      <c r="B7" s="195" t="s">
        <v>9</v>
      </c>
      <c r="C7" s="196"/>
      <c r="D7" s="53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154</v>
      </c>
      <c r="B9" s="190" t="str">
        <f>IFERROR(VLOOKUP(A9,ListaIngredientes!$A$5:$F$155,2,FALSE),"")</f>
        <v>embalagem GALVANOTEC G645</v>
      </c>
      <c r="C9" s="191"/>
      <c r="D9" s="35" t="str">
        <f>IFERROR(VLOOKUP(A9,Tabela2[],3,FALSE),"")</f>
        <v>u</v>
      </c>
      <c r="E9" s="36">
        <v>12</v>
      </c>
      <c r="F9" s="192">
        <f>IFERROR(VLOOKUP(A9,ListaIngredientes!$A$5:$F$155,6,FALSE),"")</f>
        <v>0.8</v>
      </c>
      <c r="G9" s="192"/>
      <c r="H9" s="34">
        <f t="shared" ref="H9:H27" si="0">IFERROR(E9*F9,"")</f>
        <v>9.6000000000000014</v>
      </c>
    </row>
    <row r="10" spans="1:8" ht="20.25" thickTop="1" thickBot="1" x14ac:dyDescent="0.35">
      <c r="A10" s="33">
        <v>203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7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158</v>
      </c>
      <c r="B11" s="190" t="str">
        <f>IFERROR(VLOOKUP(A11,ListaIngredientes!$A$5:$F$155,2,FALSE),"")</f>
        <v>ESSENCIA DE BAUNILHA</v>
      </c>
      <c r="C11" s="191"/>
      <c r="D11" s="35" t="str">
        <f>IFERROR(VLOOKUP(A11,Tabela2[],3,FALSE),"")</f>
        <v>ML</v>
      </c>
      <c r="E11" s="36">
        <v>240</v>
      </c>
      <c r="F11" s="192">
        <f>IFERROR(VLOOKUP(A11,ListaIngredientes!$A$5:$F$155,6,FALSE),"")</f>
        <v>9.9666666666666667E-2</v>
      </c>
      <c r="G11" s="192"/>
      <c r="H11" s="34">
        <f t="shared" si="0"/>
        <v>23.92</v>
      </c>
    </row>
    <row r="12" spans="1:8" ht="20.25" thickTop="1" thickBot="1" x14ac:dyDescent="0.35">
      <c r="A12" s="33">
        <v>160</v>
      </c>
      <c r="B12" s="190" t="str">
        <f>IFERROR(VLOOKUP(A12,ListaIngredientes!$A$5:$F$155,2,FALSE),"")</f>
        <v>farinha de amendoas</v>
      </c>
      <c r="C12" s="191"/>
      <c r="D12" s="35" t="str">
        <f>IFERROR(VLOOKUP(A12,Tabela2[],3,FALSE),"")</f>
        <v>kg</v>
      </c>
      <c r="E12" s="36">
        <v>30</v>
      </c>
      <c r="F12" s="192">
        <f>IFERROR(VLOOKUP(A12,ListaIngredientes!$A$5:$F$155,6,FALSE),"")</f>
        <v>6.3E-2</v>
      </c>
      <c r="G12" s="192"/>
      <c r="H12" s="34">
        <f t="shared" si="0"/>
        <v>1.8900000000000001</v>
      </c>
    </row>
    <row r="13" spans="1:8" ht="20.25" thickTop="1" thickBot="1" x14ac:dyDescent="0.35">
      <c r="A13" s="33">
        <v>194</v>
      </c>
      <c r="B13" s="190" t="str">
        <f>IFERROR(VLOOKUP(A13,ListaIngredientes!$A$5:$F$155,2,FALSE),"")</f>
        <v>Maçã</v>
      </c>
      <c r="C13" s="191"/>
      <c r="D13" s="35" t="str">
        <f>IFERROR(VLOOKUP(A13,Tabela2[],3,FALSE),"")</f>
        <v>kg</v>
      </c>
      <c r="E13" s="36">
        <v>100</v>
      </c>
      <c r="F13" s="192">
        <f>IFERROR(VLOOKUP(A13,ListaIngredientes!$A$5:$F$155,6,FALSE),"")</f>
        <v>3.9900000000000005E-3</v>
      </c>
      <c r="G13" s="192"/>
      <c r="H13" s="34">
        <f t="shared" si="0"/>
        <v>0.39900000000000002</v>
      </c>
    </row>
    <row r="14" spans="1:8" ht="20.25" thickTop="1" thickBot="1" x14ac:dyDescent="0.35">
      <c r="A14" s="33">
        <v>219</v>
      </c>
      <c r="B14" s="190" t="str">
        <f>IFERROR(VLOOKUP(A14,ListaIngredientes!$A$5:$F$155,2,FALSE),"")</f>
        <v>Queijo Minas</v>
      </c>
      <c r="C14" s="191"/>
      <c r="D14" s="35" t="str">
        <f>IFERROR(VLOOKUP(A14,Tabela2[],3,FALSE),"")</f>
        <v>g</v>
      </c>
      <c r="E14" s="36">
        <v>100</v>
      </c>
      <c r="F14" s="192">
        <f>IFERROR(VLOOKUP(A14,ListaIngredientes!$A$5:$F$155,6,FALSE),"")</f>
        <v>1.5299999999999999E-2</v>
      </c>
      <c r="G14" s="192"/>
      <c r="H14" s="34">
        <f t="shared" si="0"/>
        <v>1.53</v>
      </c>
    </row>
    <row r="15" spans="1:8" ht="20.25" thickTop="1" thickBot="1" x14ac:dyDescent="0.35">
      <c r="A15" s="33">
        <v>139</v>
      </c>
      <c r="B15" s="190" t="str">
        <f>IFERROR(VLOOKUP(A15,ListaIngredientes!$A$5:$F$155,2,FALSE),"")</f>
        <v>cravo da india</v>
      </c>
      <c r="C15" s="191"/>
      <c r="D15" s="35" t="str">
        <f>IFERROR(VLOOKUP(A15,Tabela2[],3,FALSE),"")</f>
        <v>g</v>
      </c>
      <c r="E15" s="36">
        <v>100</v>
      </c>
      <c r="F15" s="192">
        <f>IFERROR(VLOOKUP(A15,ListaIngredientes!$A$5:$F$155,6,FALSE),"")</f>
        <v>5.8823529411764701E-4</v>
      </c>
      <c r="G15" s="192"/>
      <c r="H15" s="34">
        <f t="shared" si="0"/>
        <v>5.8823529411764698E-2</v>
      </c>
    </row>
    <row r="16" spans="1:8" ht="20.25" thickTop="1" thickBot="1" x14ac:dyDescent="0.35">
      <c r="A16" s="33">
        <v>122</v>
      </c>
      <c r="B16" s="190" t="str">
        <f>IFERROR(VLOOKUP(A16,ListaIngredientes!$A$5:$F$155,2,FALSE),"")</f>
        <v>CARNE PATINHO</v>
      </c>
      <c r="C16" s="191"/>
      <c r="D16" s="35" t="str">
        <f>IFERROR(VLOOKUP(A16,Tabela2[],3,FALSE),"")</f>
        <v>KG</v>
      </c>
      <c r="E16" s="36">
        <v>240</v>
      </c>
      <c r="F16" s="192">
        <f>IFERROR(VLOOKUP(A16,ListaIngredientes!$A$5:$F$155,6,FALSE),"")</f>
        <v>3.3000000000000002E-2</v>
      </c>
      <c r="G16" s="192"/>
      <c r="H16" s="34">
        <f t="shared" si="0"/>
        <v>7.92</v>
      </c>
    </row>
    <row r="17" spans="1:8" ht="20.25" thickTop="1" thickBot="1" x14ac:dyDescent="0.35">
      <c r="A17" s="33">
        <v>116</v>
      </c>
      <c r="B17" s="190" t="str">
        <f>IFERROR(VLOOKUP(A17,ListaIngredientes!$A$5:$F$155,2,FALSE),"")</f>
        <v>CARNE SECA</v>
      </c>
      <c r="C17" s="191"/>
      <c r="D17" s="35" t="str">
        <f>IFERROR(VLOOKUP(A17,Tabela2[],3,FALSE),"")</f>
        <v>KG</v>
      </c>
      <c r="E17" s="36">
        <v>65</v>
      </c>
      <c r="F17" s="192">
        <f>IFERROR(VLOOKUP(A17,ListaIngredientes!$A$5:$F$155,6,FALSE),"")</f>
        <v>2.7E-2</v>
      </c>
      <c r="G17" s="192"/>
      <c r="H17" s="34">
        <f t="shared" si="0"/>
        <v>1.7549999999999999</v>
      </c>
    </row>
    <row r="18" spans="1:8" ht="20.25" thickTop="1" thickBot="1" x14ac:dyDescent="0.35">
      <c r="A18" s="33">
        <v>232</v>
      </c>
      <c r="B18" s="190" t="str">
        <f>IFERROR(VLOOKUP(A18,ListaIngredientes!$A$5:$F$155,2,FALSE),"")</f>
        <v>xilitol</v>
      </c>
      <c r="C18" s="191"/>
      <c r="D18" s="35" t="str">
        <f>IFERROR(VLOOKUP(A18,Tabela2[],3,FALSE),"")</f>
        <v>kg</v>
      </c>
      <c r="E18" s="36">
        <v>50</v>
      </c>
      <c r="F18" s="192">
        <f>IFERROR(VLOOKUP(A18,ListaIngredientes!$A$5:$F$155,6,FALSE),"")</f>
        <v>3.6520000000000004E-2</v>
      </c>
      <c r="G18" s="192"/>
      <c r="H18" s="34">
        <f t="shared" si="0"/>
        <v>1.8260000000000003</v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27"/>
      <c r="B27" s="27"/>
      <c r="C27" s="27"/>
      <c r="D27" s="28"/>
      <c r="E27" s="29"/>
      <c r="F27" s="193" t="s">
        <v>124</v>
      </c>
      <c r="G27" s="193"/>
      <c r="H27" s="34" t="str">
        <f t="shared" si="0"/>
        <v/>
      </c>
    </row>
    <row r="28" spans="1:8" ht="15.75" thickTop="1" x14ac:dyDescent="0.25">
      <c r="H28" s="40">
        <f>SUM(H8:H27)</f>
        <v>48.898823529411779</v>
      </c>
    </row>
  </sheetData>
  <mergeCells count="64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7:G27"/>
    <mergeCell ref="B24:C24"/>
    <mergeCell ref="F24:G24"/>
    <mergeCell ref="F25:G25"/>
    <mergeCell ref="E5:F5"/>
    <mergeCell ref="G5:H5"/>
    <mergeCell ref="E6:F6"/>
    <mergeCell ref="G6:H6"/>
    <mergeCell ref="B19:C19"/>
    <mergeCell ref="F19:G19"/>
    <mergeCell ref="B20:C20"/>
    <mergeCell ref="F20:G20"/>
    <mergeCell ref="B16:C16"/>
    <mergeCell ref="F16:G16"/>
    <mergeCell ref="B17:C17"/>
    <mergeCell ref="F17:G17"/>
    <mergeCell ref="B23:C23"/>
    <mergeCell ref="F23:G23"/>
    <mergeCell ref="B25:C25"/>
    <mergeCell ref="B26:C26"/>
    <mergeCell ref="F26:G26"/>
    <mergeCell ref="B21:C21"/>
    <mergeCell ref="F21:G21"/>
    <mergeCell ref="B22:C22"/>
    <mergeCell ref="F22:G22"/>
    <mergeCell ref="E3:F3"/>
    <mergeCell ref="G3:H3"/>
    <mergeCell ref="E4:F4"/>
    <mergeCell ref="G4:H4"/>
    <mergeCell ref="B18:C18"/>
    <mergeCell ref="F18:G18"/>
    <mergeCell ref="B13:C13"/>
    <mergeCell ref="F13:G13"/>
    <mergeCell ref="B14:C14"/>
    <mergeCell ref="F14:G14"/>
    <mergeCell ref="B15:C15"/>
    <mergeCell ref="F15:G15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0"/>
  <sheetViews>
    <sheetView workbookViewId="0">
      <selection activeCell="I19" sqref="I19"/>
    </sheetView>
  </sheetViews>
  <sheetFormatPr defaultRowHeight="15" x14ac:dyDescent="0.25"/>
  <cols>
    <col min="2" max="2" width="19.42578125" customWidth="1"/>
    <col min="4" max="4" width="11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57.723639711665705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192.41213237221899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57.723639711665705</v>
      </c>
      <c r="D3" s="213"/>
      <c r="E3" s="202" t="s">
        <v>284</v>
      </c>
      <c r="F3" s="202"/>
      <c r="G3" s="213">
        <f>G2*C5</f>
        <v>96.206066186109496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-3.0482426474443804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750.40731625165415</v>
      </c>
      <c r="D6" s="205"/>
      <c r="E6" s="204" t="s">
        <v>283</v>
      </c>
      <c r="F6" s="204"/>
      <c r="G6" s="213">
        <f>G5*G4</f>
        <v>-45.723639711665705</v>
      </c>
      <c r="H6" s="216"/>
    </row>
    <row r="7" spans="1:8" ht="17.25" thickTop="1" thickBot="1" x14ac:dyDescent="0.3">
      <c r="A7" s="59" t="s">
        <v>5</v>
      </c>
      <c r="B7" s="195" t="s">
        <v>9</v>
      </c>
      <c r="C7" s="196"/>
      <c r="D7" s="5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9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105</v>
      </c>
      <c r="B9" s="190" t="str">
        <f>IFERROR(VLOOKUP(A9,ListaIngredientes!$A$5:$F$155,2,FALSE),"")</f>
        <v>Bananas</v>
      </c>
      <c r="C9" s="191"/>
      <c r="D9" s="35" t="str">
        <f>IFERROR(VLOOKUP(A9,Tabela2[],3,FALSE),"")</f>
        <v>duzias</v>
      </c>
      <c r="E9" s="36">
        <v>20</v>
      </c>
      <c r="F9" s="192">
        <f>IFERROR(VLOOKUP(A9,ListaIngredientes!$A$5:$F$155,6,FALSE),"")</f>
        <v>0.5</v>
      </c>
      <c r="G9" s="192"/>
      <c r="H9" s="34">
        <f t="shared" ref="H9:H27" si="0">IFERROR(E9*F9,"")</f>
        <v>10</v>
      </c>
    </row>
    <row r="10" spans="1:8" ht="20.25" thickTop="1" thickBot="1" x14ac:dyDescent="0.35">
      <c r="A10" s="33">
        <v>125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70</v>
      </c>
      <c r="F10" s="217">
        <f>IFERROR(VLOOKUP(A10,ListaIngredientes!$A$5:$F$155,6,FALSE),"")</f>
        <v>0</v>
      </c>
      <c r="G10" s="217"/>
      <c r="H10" s="34">
        <f t="shared" si="0"/>
        <v>0</v>
      </c>
    </row>
    <row r="11" spans="1:8" ht="20.25" thickTop="1" thickBot="1" x14ac:dyDescent="0.35">
      <c r="A11" s="33">
        <v>139</v>
      </c>
      <c r="B11" s="190" t="str">
        <f>IFERROR(VLOOKUP(A11,ListaIngredientes!$A$5:$F$155,2,FALSE),"")</f>
        <v>cravo da india</v>
      </c>
      <c r="C11" s="191"/>
      <c r="D11" s="35" t="str">
        <f>IFERROR(VLOOKUP(A11,Tabela2[],3,FALSE),"")</f>
        <v>g</v>
      </c>
      <c r="E11" s="36">
        <v>400</v>
      </c>
      <c r="F11" s="192">
        <f>IFERROR(VLOOKUP(A11,ListaIngredientes!$A$5:$F$155,6,FALSE),"")</f>
        <v>5.8823529411764701E-4</v>
      </c>
      <c r="G11" s="192"/>
      <c r="H11" s="34">
        <f t="shared" si="0"/>
        <v>0.23529411764705879</v>
      </c>
    </row>
    <row r="12" spans="1:8" ht="20.25" thickTop="1" thickBot="1" x14ac:dyDescent="0.35">
      <c r="A12" s="33">
        <v>230</v>
      </c>
      <c r="B12" s="190">
        <f>IFERROR(VLOOKUP(A12,ListaIngredientes!$A$5:$F$155,2,FALSE),"")</f>
        <v>0</v>
      </c>
      <c r="C12" s="191"/>
      <c r="D12" s="35" t="s">
        <v>41</v>
      </c>
      <c r="E12" s="36">
        <v>175</v>
      </c>
      <c r="F12" s="192">
        <f>IFERROR(VLOOKUP(A12,ListaIngredientes!$A$5:$F$155,6,FALSE),"")</f>
        <v>0.14899999999999999</v>
      </c>
      <c r="G12" s="192"/>
      <c r="H12" s="34">
        <f t="shared" si="0"/>
        <v>26.074999999999999</v>
      </c>
    </row>
    <row r="13" spans="1:8" ht="20.25" thickTop="1" thickBot="1" x14ac:dyDescent="0.35">
      <c r="A13" s="33">
        <v>135</v>
      </c>
      <c r="B13" s="190" t="str">
        <f>IFERROR(VLOOKUP(A13,ListaIngredientes!$A$5:$F$155,2,FALSE),"")</f>
        <v>ISOPOR DE PIZZA REDONDA</v>
      </c>
      <c r="C13" s="191"/>
      <c r="D13" s="35" t="s">
        <v>31</v>
      </c>
      <c r="E13" s="36">
        <v>9</v>
      </c>
      <c r="F13" s="192">
        <f>IFERROR(VLOOKUP(A13,ListaIngredientes!$A$5:$F$155,6,FALSE),"")</f>
        <v>0.28999999999999998</v>
      </c>
      <c r="G13" s="192"/>
      <c r="H13" s="34">
        <f t="shared" si="0"/>
        <v>2.61</v>
      </c>
    </row>
    <row r="14" spans="1:8" ht="20.25" thickTop="1" thickBot="1" x14ac:dyDescent="0.35">
      <c r="A14" s="33">
        <v>249</v>
      </c>
      <c r="B14" s="190" t="str">
        <f>IFERROR(VLOOKUP(A14,ListaIngredientes!$A$5:$F$155,2,FALSE),"")</f>
        <v>Whey Protein</v>
      </c>
      <c r="C14" s="191"/>
      <c r="D14" s="35" t="s">
        <v>41</v>
      </c>
      <c r="E14" s="36">
        <v>20</v>
      </c>
      <c r="F14" s="192">
        <f>IFERROR(VLOOKUP(A14,ListaIngredientes!$A$5:$F$155,6,FALSE),"")</f>
        <v>1.7001533742331289E-2</v>
      </c>
      <c r="G14" s="192"/>
      <c r="H14" s="34">
        <f t="shared" si="0"/>
        <v>0.3400306748466258</v>
      </c>
    </row>
    <row r="15" spans="1:8" ht="20.25" thickTop="1" thickBot="1" x14ac:dyDescent="0.35">
      <c r="A15" s="33">
        <v>102</v>
      </c>
      <c r="B15" s="190" t="str">
        <f>IFERROR(VLOOKUP(A15,ListaIngredientes!$A$5:$F$155,2,FALSE),"")</f>
        <v>Ovos Branco</v>
      </c>
      <c r="C15" s="191"/>
      <c r="D15" s="35" t="s">
        <v>67</v>
      </c>
      <c r="E15" s="36">
        <v>200</v>
      </c>
      <c r="F15" s="192">
        <f>IFERROR(VLOOKUP(A15,ListaIngredientes!$A$5:$F$155,6,FALSE),"")</f>
        <v>1.6666666666666667</v>
      </c>
      <c r="G15" s="192"/>
      <c r="H15" s="34">
        <f t="shared" si="0"/>
        <v>333.33333333333337</v>
      </c>
    </row>
    <row r="16" spans="1:8" ht="20.25" thickTop="1" thickBot="1" x14ac:dyDescent="0.35">
      <c r="A16" s="33">
        <v>135</v>
      </c>
      <c r="B16" s="190" t="str">
        <f>IFERROR(VLOOKUP(A16,ListaIngredientes!$A$5:$F$155,2,FALSE),"")</f>
        <v>ISOPOR DE PIZZA REDONDA</v>
      </c>
      <c r="C16" s="191"/>
      <c r="D16" s="35" t="s">
        <v>54</v>
      </c>
      <c r="E16" s="36">
        <v>9</v>
      </c>
      <c r="F16" s="192">
        <f>IFERROR(VLOOKUP(A16,ListaIngredientes!$A$5:$F$155,6,FALSE),"")</f>
        <v>0.28999999999999998</v>
      </c>
      <c r="G16" s="192"/>
      <c r="H16" s="34">
        <f t="shared" si="0"/>
        <v>2.61</v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>
        <f>SUM(H8:H27)</f>
        <v>375.20365812582708</v>
      </c>
    </row>
    <row r="29" spans="1:8" ht="20.25" thickTop="1" thickBot="1" x14ac:dyDescent="0.35">
      <c r="A29" s="27"/>
      <c r="B29" s="27"/>
      <c r="C29" s="27"/>
      <c r="D29" s="28"/>
      <c r="E29" s="29"/>
      <c r="F29" s="193" t="s">
        <v>124</v>
      </c>
      <c r="G29" s="193"/>
      <c r="H29" s="34" t="str">
        <f t="shared" ref="H29" si="1">IFERROR(E29*F29,"")</f>
        <v/>
      </c>
    </row>
    <row r="30" spans="1:8" ht="15.75" thickTop="1" x14ac:dyDescent="0.25"/>
  </sheetData>
  <mergeCells count="67">
    <mergeCell ref="F7:G7"/>
    <mergeCell ref="C1:D1"/>
    <mergeCell ref="E1:F1"/>
    <mergeCell ref="G1:H1"/>
    <mergeCell ref="A4:B4"/>
    <mergeCell ref="G5:H5"/>
    <mergeCell ref="E6:F6"/>
    <mergeCell ref="G6:H6"/>
    <mergeCell ref="A6:B6"/>
    <mergeCell ref="A3:B3"/>
    <mergeCell ref="A5:B5"/>
    <mergeCell ref="C5:D5"/>
    <mergeCell ref="C6:D6"/>
    <mergeCell ref="B8:C8"/>
    <mergeCell ref="F8:G8"/>
    <mergeCell ref="B9:C9"/>
    <mergeCell ref="F9:G9"/>
    <mergeCell ref="A2:B2"/>
    <mergeCell ref="C2:D2"/>
    <mergeCell ref="E2:F2"/>
    <mergeCell ref="G2:H2"/>
    <mergeCell ref="C3:D3"/>
    <mergeCell ref="E3:F3"/>
    <mergeCell ref="G3:H3"/>
    <mergeCell ref="C4:D4"/>
    <mergeCell ref="E4:F4"/>
    <mergeCell ref="G4:H4"/>
    <mergeCell ref="E5:F5"/>
    <mergeCell ref="B7:C7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F29:G29"/>
    <mergeCell ref="B26:C26"/>
    <mergeCell ref="B27:C27"/>
    <mergeCell ref="F27:G27"/>
    <mergeCell ref="F28:G28"/>
    <mergeCell ref="B19:C19"/>
    <mergeCell ref="F19:G19"/>
    <mergeCell ref="B20:C20"/>
    <mergeCell ref="F20:G20"/>
    <mergeCell ref="B21:C21"/>
    <mergeCell ref="F21:G21"/>
    <mergeCell ref="B25:C25"/>
    <mergeCell ref="F25:G25"/>
    <mergeCell ref="F26:G26"/>
    <mergeCell ref="B22:C22"/>
    <mergeCell ref="F22:G22"/>
    <mergeCell ref="B23:C23"/>
    <mergeCell ref="F23:G23"/>
    <mergeCell ref="B24:C24"/>
    <mergeCell ref="F24:G24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9"/>
  <sheetViews>
    <sheetView workbookViewId="0">
      <selection activeCell="I19" sqref="I19"/>
    </sheetView>
  </sheetViews>
  <sheetFormatPr defaultRowHeight="15" x14ac:dyDescent="0.25"/>
  <cols>
    <col min="2" max="2" width="16.710937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20.667820512820512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68.892735042735026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20.667820512820512</v>
      </c>
      <c r="D3" s="213"/>
      <c r="E3" s="202" t="s">
        <v>284</v>
      </c>
      <c r="F3" s="202"/>
      <c r="G3" s="213">
        <f>G2*C5</f>
        <v>34.446367521367513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-0.57785470085470081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268.68166666666667</v>
      </c>
      <c r="D6" s="205"/>
      <c r="E6" s="204" t="s">
        <v>283</v>
      </c>
      <c r="F6" s="204"/>
      <c r="G6" s="213">
        <f>G5*G4</f>
        <v>-8.6678205128205121</v>
      </c>
      <c r="H6" s="216"/>
    </row>
    <row r="7" spans="1:8" ht="17.25" thickTop="1" thickBot="1" x14ac:dyDescent="0.3">
      <c r="A7" s="60" t="s">
        <v>5</v>
      </c>
      <c r="B7" s="195" t="s">
        <v>9</v>
      </c>
      <c r="C7" s="196"/>
      <c r="D7" s="6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4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223</v>
      </c>
      <c r="B9" s="190" t="str">
        <f>IFERROR(VLOOKUP(A9,ListaIngredientes!$A$5:$F$155,2,FALSE),"")</f>
        <v>SACO PASCOA 24X24</v>
      </c>
      <c r="C9" s="191"/>
      <c r="D9" s="35" t="str">
        <f>IFERROR(VLOOKUP(A9,Tabela2[],3,FALSE),"")</f>
        <v>u</v>
      </c>
      <c r="E9" s="36">
        <v>4</v>
      </c>
      <c r="F9" s="192">
        <f>IFERROR(VLOOKUP(A9,ListaIngredientes!$A$5:$F$155,6,FALSE),"")</f>
        <v>0.4</v>
      </c>
      <c r="G9" s="192"/>
      <c r="H9" s="34">
        <f t="shared" ref="H9:H28" si="0">IFERROR(E9*F9,"")</f>
        <v>1.6</v>
      </c>
    </row>
    <row r="10" spans="1:8" ht="20.25" thickTop="1" thickBot="1" x14ac:dyDescent="0.35">
      <c r="A10" s="33">
        <v>202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80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230</v>
      </c>
      <c r="B11" s="190">
        <f>IFERROR(VLOOKUP(A11,ListaIngredientes!$A$5:$F$155,2,FALSE),"")</f>
        <v>0</v>
      </c>
      <c r="C11" s="191"/>
      <c r="D11" s="35" t="str">
        <f>IFERROR(VLOOKUP(A11,Tabela2[],3,FALSE),"")</f>
        <v>u</v>
      </c>
      <c r="E11" s="36">
        <v>85</v>
      </c>
      <c r="F11" s="192">
        <f>IFERROR(VLOOKUP(A11,ListaIngredientes!$A$5:$F$155,6,FALSE),"")</f>
        <v>0.14899999999999999</v>
      </c>
      <c r="G11" s="192"/>
      <c r="H11" s="34">
        <f t="shared" si="0"/>
        <v>12.664999999999999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130</v>
      </c>
      <c r="F12" s="192">
        <f>IFERROR(VLOOKUP(A12,ListaIngredientes!$A$5:$F$155,6,FALSE),"")</f>
        <v>9.9666666666666667E-2</v>
      </c>
      <c r="G12" s="192"/>
      <c r="H12" s="34">
        <f t="shared" si="0"/>
        <v>12.956666666666667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60</v>
      </c>
      <c r="F13" s="192">
        <f>IFERROR(VLOOKUP(A13,ListaIngredientes!$A$5:$F$155,6,FALSE),"")</f>
        <v>2.59</v>
      </c>
      <c r="G13" s="192"/>
      <c r="H13" s="34">
        <f t="shared" si="0"/>
        <v>155.39999999999998</v>
      </c>
    </row>
    <row r="14" spans="1:8" ht="20.25" thickTop="1" thickBot="1" x14ac:dyDescent="0.35">
      <c r="A14" s="33">
        <v>188</v>
      </c>
      <c r="B14" s="190" t="str">
        <f>IFERROR(VLOOKUP(A14,ListaIngredientes!$A$5:$F$155,2,FALSE),"")</f>
        <v>LATA PALHA ITALIANA</v>
      </c>
      <c r="C14" s="191"/>
      <c r="D14" s="35" t="str">
        <f>IFERROR(VLOOKUP(A14,Tabela2[],3,FALSE),"")</f>
        <v>U</v>
      </c>
      <c r="E14" s="36">
        <v>50</v>
      </c>
      <c r="F14" s="192">
        <f>IFERROR(VLOOKUP(A14,ListaIngredientes!$A$5:$F$155,6,FALSE),"")</f>
        <v>1.59</v>
      </c>
      <c r="G14" s="192"/>
      <c r="H14" s="34">
        <f t="shared" si="0"/>
        <v>79.5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2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106</v>
      </c>
      <c r="B16" s="190" t="str">
        <f>IFERROR(VLOOKUP(A16,ListaIngredientes!$A$5:$F$155,2,FALSE),"")</f>
        <v>Colorau</v>
      </c>
      <c r="C16" s="191"/>
      <c r="D16" s="35" t="str">
        <f>IFERROR(VLOOKUP(A16,Tabela2[],3,FALSE),"")</f>
        <v>g</v>
      </c>
      <c r="E16" s="36">
        <v>10</v>
      </c>
      <c r="F16" s="192">
        <f>IFERROR(VLOOKUP(A16,ListaIngredientes!$A$5:$F$155,6,FALSE),"")</f>
        <v>0.02</v>
      </c>
      <c r="G16" s="192"/>
      <c r="H16" s="34">
        <f t="shared" si="0"/>
        <v>0.2</v>
      </c>
    </row>
    <row r="17" spans="1:8" ht="20.25" thickTop="1" thickBot="1" x14ac:dyDescent="0.35">
      <c r="A17" s="33">
        <v>126</v>
      </c>
      <c r="B17" s="190" t="str">
        <f>IFERROR(VLOOKUP(A17,ListaIngredientes!$A$5:$F$155,2,FALSE),"")</f>
        <v>CHOCOLTE BRANCO</v>
      </c>
      <c r="C17" s="191"/>
      <c r="D17" s="35" t="str">
        <f>IFERROR(VLOOKUP(A17,Tabela2[],3,FALSE),"")</f>
        <v>KG</v>
      </c>
      <c r="E17" s="36">
        <v>40</v>
      </c>
      <c r="F17" s="192">
        <f>IFERROR(VLOOKUP(A17,ListaIngredientes!$A$5:$F$155,6,FALSE),"")</f>
        <v>0.159</v>
      </c>
      <c r="G17" s="192"/>
      <c r="H17" s="34">
        <f t="shared" si="0"/>
        <v>6.36</v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268.68166666666667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>
      <selection activeCell="I19" sqref="I19"/>
    </sheetView>
  </sheetViews>
  <sheetFormatPr defaultRowHeight="15" x14ac:dyDescent="0.25"/>
  <cols>
    <col min="2" max="2" width="16.1406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20.181643589743594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67.272145299145308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20.181643589743594</v>
      </c>
      <c r="D3" s="213"/>
      <c r="E3" s="202" t="s">
        <v>284</v>
      </c>
      <c r="F3" s="202"/>
      <c r="G3" s="213">
        <f>G2*C5</f>
        <v>33.636072649572654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-0.54544290598290623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262.3613666666667</v>
      </c>
      <c r="D6" s="205"/>
      <c r="E6" s="204" t="s">
        <v>283</v>
      </c>
      <c r="F6" s="204"/>
      <c r="G6" s="213">
        <f>G5*G4</f>
        <v>-8.1816435897435937</v>
      </c>
      <c r="H6" s="216"/>
    </row>
    <row r="7" spans="1:8" ht="17.25" thickTop="1" thickBot="1" x14ac:dyDescent="0.3">
      <c r="A7" s="60" t="s">
        <v>5</v>
      </c>
      <c r="B7" s="195" t="s">
        <v>9</v>
      </c>
      <c r="C7" s="196"/>
      <c r="D7" s="6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4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223</v>
      </c>
      <c r="B9" s="190" t="str">
        <f>IFERROR(VLOOKUP(A9,ListaIngredientes!$A$5:$F$155,2,FALSE),"")</f>
        <v>SACO PASCOA 24X24</v>
      </c>
      <c r="C9" s="191"/>
      <c r="D9" s="35" t="str">
        <f>IFERROR(VLOOKUP(A9,Tabela2[],3,FALSE),"")</f>
        <v>u</v>
      </c>
      <c r="E9" s="36">
        <v>4</v>
      </c>
      <c r="F9" s="192">
        <f>IFERROR(VLOOKUP(A9,ListaIngredientes!$A$5:$F$155,6,FALSE),"")</f>
        <v>0.4</v>
      </c>
      <c r="G9" s="192"/>
      <c r="H9" s="34">
        <f t="shared" ref="H9:H28" si="0">IFERROR(E9*F9,"")</f>
        <v>1.6</v>
      </c>
    </row>
    <row r="10" spans="1:8" ht="20.25" thickTop="1" thickBot="1" x14ac:dyDescent="0.35">
      <c r="A10" s="33">
        <v>202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80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230</v>
      </c>
      <c r="B11" s="190">
        <f>IFERROR(VLOOKUP(A11,ListaIngredientes!$A$5:$F$155,2,FALSE),"")</f>
        <v>0</v>
      </c>
      <c r="C11" s="191"/>
      <c r="D11" s="35" t="str">
        <f>IFERROR(VLOOKUP(A11,Tabela2[],3,FALSE),"")</f>
        <v>u</v>
      </c>
      <c r="E11" s="36">
        <v>85</v>
      </c>
      <c r="F11" s="192">
        <f>IFERROR(VLOOKUP(A11,ListaIngredientes!$A$5:$F$155,6,FALSE),"")</f>
        <v>0.14899999999999999</v>
      </c>
      <c r="G11" s="192"/>
      <c r="H11" s="34">
        <f t="shared" si="0"/>
        <v>12.664999999999999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130</v>
      </c>
      <c r="F12" s="192">
        <f>IFERROR(VLOOKUP(A12,ListaIngredientes!$A$5:$F$155,6,FALSE),"")</f>
        <v>9.9666666666666667E-2</v>
      </c>
      <c r="G12" s="192"/>
      <c r="H12" s="34">
        <f t="shared" si="0"/>
        <v>12.956666666666667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60</v>
      </c>
      <c r="F13" s="192">
        <f>IFERROR(VLOOKUP(A13,ListaIngredientes!$A$5:$F$155,6,FALSE),"")</f>
        <v>2.59</v>
      </c>
      <c r="G13" s="192"/>
      <c r="H13" s="34">
        <f t="shared" si="0"/>
        <v>155.39999999999998</v>
      </c>
    </row>
    <row r="14" spans="1:8" ht="20.25" thickTop="1" thickBot="1" x14ac:dyDescent="0.35">
      <c r="A14" s="33">
        <v>188</v>
      </c>
      <c r="B14" s="190" t="str">
        <f>IFERROR(VLOOKUP(A14,ListaIngredientes!$A$5:$F$155,2,FALSE),"")</f>
        <v>LATA PALHA ITALIANA</v>
      </c>
      <c r="C14" s="191"/>
      <c r="D14" s="35" t="str">
        <f>IFERROR(VLOOKUP(A14,Tabela2[],3,FALSE),"")</f>
        <v>U</v>
      </c>
      <c r="E14" s="36">
        <v>50</v>
      </c>
      <c r="F14" s="192">
        <f>IFERROR(VLOOKUP(A14,ListaIngredientes!$A$5:$F$155,6,FALSE),"")</f>
        <v>1.59</v>
      </c>
      <c r="G14" s="192"/>
      <c r="H14" s="34">
        <f t="shared" si="0"/>
        <v>79.5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2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191</v>
      </c>
      <c r="B16" s="190" t="str">
        <f>IFERROR(VLOOKUP(A16,ListaIngredientes!$A$5:$F$155,2,FALSE),"")</f>
        <v>leite de coco em po</v>
      </c>
      <c r="C16" s="191"/>
      <c r="D16" s="35" t="str">
        <f>IFERROR(VLOOKUP(A16,Tabela2[],3,FALSE),"")</f>
        <v>kg</v>
      </c>
      <c r="E16" s="36">
        <v>3</v>
      </c>
      <c r="F16" s="192">
        <f>IFERROR(VLOOKUP(A16,ListaIngredientes!$A$5:$F$155,6,FALSE),"")</f>
        <v>7.9899999999999999E-2</v>
      </c>
      <c r="G16" s="192"/>
      <c r="H16" s="34">
        <f t="shared" si="0"/>
        <v>0.2397</v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262.3613666666667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9"/>
  <sheetViews>
    <sheetView workbookViewId="0">
      <selection activeCell="I19" sqref="I19"/>
    </sheetView>
  </sheetViews>
  <sheetFormatPr defaultRowHeight="15" x14ac:dyDescent="0.25"/>
  <cols>
    <col min="8" max="8" width="12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2.511765215279127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8.3725507175970879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2.511765215279127</v>
      </c>
      <c r="D3" s="213"/>
      <c r="E3" s="202" t="s">
        <v>284</v>
      </c>
      <c r="F3" s="202"/>
      <c r="G3" s="213">
        <f>G2*C5</f>
        <v>4.186275358798544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0.63254898564805817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32.652947798628652</v>
      </c>
      <c r="D6" s="205"/>
      <c r="E6" s="204" t="s">
        <v>283</v>
      </c>
      <c r="F6" s="204"/>
      <c r="G6" s="213">
        <f>G5*G4</f>
        <v>9.4882347847208734</v>
      </c>
      <c r="H6" s="216"/>
    </row>
    <row r="7" spans="1:8" ht="17.25" thickTop="1" thickBot="1" x14ac:dyDescent="0.3">
      <c r="A7" s="66" t="s">
        <v>5</v>
      </c>
      <c r="B7" s="195" t="s">
        <v>9</v>
      </c>
      <c r="C7" s="196"/>
      <c r="D7" s="66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9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143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9</v>
      </c>
      <c r="F9" s="192">
        <f>IFERROR(VLOOKUP(A9,ListaIngredientes!$A$5:$F$155,6,FALSE),"")</f>
        <v>0</v>
      </c>
      <c r="G9" s="192"/>
      <c r="H9" s="34">
        <f t="shared" ref="H9:H28" si="0">IFERROR(E9*F9,"")</f>
        <v>0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75</v>
      </c>
      <c r="F10" s="192">
        <f>IFERROR(VLOOKUP(A10,ListaIngredientes!$A$5:$F$155,6,FALSE),"")</f>
        <v>0.14899999999999999</v>
      </c>
      <c r="G10" s="192"/>
      <c r="H10" s="34">
        <f t="shared" si="0"/>
        <v>11.174999999999999</v>
      </c>
    </row>
    <row r="11" spans="1:8" ht="20.25" thickTop="1" thickBot="1" x14ac:dyDescent="0.35">
      <c r="A11" s="33">
        <v>125</v>
      </c>
      <c r="B11" s="190">
        <f>IFERROR(VLOOKUP(A11,ListaIngredientes!$A$5:$F$155,2,FALSE),"")</f>
        <v>0</v>
      </c>
      <c r="C11" s="191"/>
      <c r="D11" s="35">
        <f>IFERROR(VLOOKUP(A11,Tabela2[],3,FALSE),"")</f>
        <v>0</v>
      </c>
      <c r="E11" s="36">
        <v>200</v>
      </c>
      <c r="F11" s="192">
        <f>IFERROR(VLOOKUP(A11,ListaIngredientes!$A$5:$F$155,6,FALSE),"")</f>
        <v>0</v>
      </c>
      <c r="G11" s="192"/>
      <c r="H11" s="34">
        <f t="shared" si="0"/>
        <v>0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150</v>
      </c>
      <c r="F12" s="192">
        <f>IFERROR(VLOOKUP(A12,ListaIngredientes!$A$5:$F$155,6,FALSE),"")</f>
        <v>9.9666666666666667E-2</v>
      </c>
      <c r="G12" s="192"/>
      <c r="H12" s="34">
        <f t="shared" si="0"/>
        <v>14.95</v>
      </c>
    </row>
    <row r="13" spans="1:8" ht="20.25" thickTop="1" thickBot="1" x14ac:dyDescent="0.35">
      <c r="A13" s="33">
        <v>249</v>
      </c>
      <c r="B13" s="190" t="str">
        <f>IFERROR(VLOOKUP(A13,ListaIngredientes!$A$5:$F$155,2,FALSE),"")</f>
        <v>Whey Protein</v>
      </c>
      <c r="C13" s="191"/>
      <c r="D13" s="35" t="str">
        <f>IFERROR(VLOOKUP(A13,Tabela2[],3,FALSE),"")</f>
        <v>g</v>
      </c>
      <c r="E13" s="36">
        <v>35</v>
      </c>
      <c r="F13" s="192">
        <f>IFERROR(VLOOKUP(A13,ListaIngredientes!$A$5:$F$155,6,FALSE),"")</f>
        <v>1.7001533742331289E-2</v>
      </c>
      <c r="G13" s="192"/>
      <c r="H13" s="34">
        <f t="shared" si="0"/>
        <v>0.59505368098159517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10</v>
      </c>
      <c r="F14" s="192">
        <f>IFERROR(VLOOKUP(A14,ListaIngredientes!$A$5:$F$155,6,FALSE),"")</f>
        <v>6.3E-2</v>
      </c>
      <c r="G14" s="192"/>
      <c r="H14" s="34">
        <f t="shared" si="0"/>
        <v>0.63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tr">
        <f>IFERROR(VLOOKUP(A15,Tabela2[],3,FALSE),"")</f>
        <v>kg</v>
      </c>
      <c r="E15" s="36">
        <v>5</v>
      </c>
      <c r="F15" s="192">
        <f>IFERROR(VLOOKUP(A15,ListaIngredientes!$A$5:$F$155,6,FALSE),"")</f>
        <v>5.5119999999999995E-2</v>
      </c>
      <c r="G15" s="192"/>
      <c r="H15" s="34">
        <f t="shared" si="0"/>
        <v>0.27559999999999996</v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>
        <v>139</v>
      </c>
      <c r="B18" s="190" t="str">
        <f>IFERROR(VLOOKUP(A18,ListaIngredientes!$A$5:$F$155,2,FALSE),"")</f>
        <v>cravo da india</v>
      </c>
      <c r="C18" s="191"/>
      <c r="D18" s="35" t="str">
        <f>IFERROR(VLOOKUP(A18,Tabela2[],3,FALSE),"")</f>
        <v>g</v>
      </c>
      <c r="E18" s="36">
        <v>400</v>
      </c>
      <c r="F18" s="192">
        <f>IFERROR(VLOOKUP(A18,ListaIngredientes!$A$5:$F$155,6,FALSE),"")</f>
        <v>5.8823529411764701E-4</v>
      </c>
      <c r="G18" s="192"/>
      <c r="H18" s="34">
        <f t="shared" si="0"/>
        <v>0.23529411764705879</v>
      </c>
    </row>
    <row r="19" spans="1:8" ht="20.25" thickTop="1" thickBot="1" x14ac:dyDescent="0.35">
      <c r="A19" s="33"/>
      <c r="B19" s="190"/>
      <c r="C19" s="191"/>
      <c r="D19" s="35"/>
      <c r="E19" s="36"/>
      <c r="F19" s="192"/>
      <c r="G19" s="192"/>
      <c r="H19" s="34"/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>
        <v>203</v>
      </c>
      <c r="B21" s="190">
        <f>IFERROR(VLOOKUP(A21,ListaIngredientes!$A$5:$F$155,2,FALSE),"")</f>
        <v>0</v>
      </c>
      <c r="C21" s="191"/>
      <c r="D21" s="35">
        <f>IFERROR(VLOOKUP(A21,Tabela2[],3,FALSE),"")</f>
        <v>0</v>
      </c>
      <c r="E21" s="36">
        <v>3</v>
      </c>
      <c r="F21" s="192">
        <f>IFERROR(VLOOKUP(A21,ListaIngredientes!$A$5:$F$155,6,FALSE),"")</f>
        <v>0</v>
      </c>
      <c r="G21" s="192"/>
      <c r="H21" s="34">
        <f t="shared" si="0"/>
        <v>0</v>
      </c>
    </row>
    <row r="22" spans="1:8" ht="20.25" thickTop="1" thickBot="1" x14ac:dyDescent="0.35">
      <c r="A22" s="33">
        <v>156</v>
      </c>
      <c r="B22" s="190" t="str">
        <f>IFERROR(VLOOKUP(A22,ListaIngredientes!$A$5:$F$155,2,FALSE),"")</f>
        <v>embalagem quiche</v>
      </c>
      <c r="C22" s="191"/>
      <c r="D22" s="35" t="str">
        <f>IFERROR(VLOOKUP(A22,Tabela2[],3,FALSE),"")</f>
        <v>u</v>
      </c>
      <c r="E22" s="36">
        <v>8</v>
      </c>
      <c r="F22" s="192">
        <f>IFERROR(VLOOKUP(A22,ListaIngredientes!$A$5:$F$155,6,FALSE),"")</f>
        <v>0.59899999999999998</v>
      </c>
      <c r="G22" s="192"/>
      <c r="H22" s="34">
        <f t="shared" si="0"/>
        <v>4.7919999999999998</v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58">
        <f>SUM(H8:H27)</f>
        <v>32.652947798628652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9"/>
  <sheetViews>
    <sheetView workbookViewId="0">
      <selection sqref="A1:H6"/>
    </sheetView>
  </sheetViews>
  <sheetFormatPr defaultRowHeight="15" x14ac:dyDescent="0.25"/>
  <cols>
    <col min="2" max="2" width="17.425781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2.1559471794871792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7.1864905982905958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2.1559471794871792</v>
      </c>
      <c r="D3" s="213"/>
      <c r="E3" s="202" t="s">
        <v>284</v>
      </c>
      <c r="F3" s="202"/>
      <c r="G3" s="213">
        <f>G2*C5</f>
        <v>3.5932452991452979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0.65627018803418813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28.027313333333332</v>
      </c>
      <c r="D6" s="205"/>
      <c r="E6" s="204" t="s">
        <v>283</v>
      </c>
      <c r="F6" s="204"/>
      <c r="G6" s="213">
        <f>G5*G4</f>
        <v>9.8440528205128217</v>
      </c>
      <c r="H6" s="216"/>
    </row>
    <row r="7" spans="1:8" ht="17.25" thickTop="1" thickBot="1" x14ac:dyDescent="0.3">
      <c r="A7" s="61" t="s">
        <v>5</v>
      </c>
      <c r="B7" s="195" t="s">
        <v>9</v>
      </c>
      <c r="C7" s="196"/>
      <c r="D7" s="61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220</v>
      </c>
      <c r="B9" s="190" t="str">
        <f>IFERROR(VLOOKUP(A9,ListaIngredientes!$A$5:$F$155,2,FALSE),"")</f>
        <v>queijo prato</v>
      </c>
      <c r="C9" s="191"/>
      <c r="D9" s="35" t="str">
        <f>IFERROR(VLOOKUP(A9,Tabela2[],3,FALSE),"")</f>
        <v>kg</v>
      </c>
      <c r="E9" s="36">
        <v>2</v>
      </c>
      <c r="F9" s="192">
        <f>IFERROR(VLOOKUP(A9,ListaIngredientes!$A$5:$F$155,6,FALSE),"")</f>
        <v>4.9890000000000004E-2</v>
      </c>
      <c r="G9" s="192"/>
      <c r="H9" s="34">
        <f t="shared" ref="H9:H28" si="0">IFERROR(E9*F9,"")</f>
        <v>9.9780000000000008E-2</v>
      </c>
    </row>
    <row r="10" spans="1:8" ht="20.25" thickTop="1" thickBot="1" x14ac:dyDescent="0.35">
      <c r="A10" s="33">
        <v>202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30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182</v>
      </c>
      <c r="B11" s="190" t="str">
        <f>IFERROR(VLOOKUP(A11,ListaIngredientes!$A$5:$F$155,2,FALSE),"")</f>
        <v>GERGILIM</v>
      </c>
      <c r="C11" s="191"/>
      <c r="D11" s="35" t="str">
        <f>IFERROR(VLOOKUP(A11,Tabela2[],3,FALSE),"")</f>
        <v>KG</v>
      </c>
      <c r="E11" s="36">
        <v>2</v>
      </c>
      <c r="F11" s="192">
        <f>IFERROR(VLOOKUP(A11,ListaIngredientes!$A$5:$F$155,6,FALSE),"")</f>
        <v>2.9000000000000001E-2</v>
      </c>
      <c r="G11" s="192"/>
      <c r="H11" s="34">
        <f t="shared" si="0"/>
        <v>5.8000000000000003E-2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260</v>
      </c>
      <c r="F12" s="192">
        <f>IFERROR(VLOOKUP(A12,ListaIngredientes!$A$5:$F$155,6,FALSE),"")</f>
        <v>9.9666666666666667E-2</v>
      </c>
      <c r="G12" s="192"/>
      <c r="H12" s="34">
        <f t="shared" si="0"/>
        <v>25.913333333333334</v>
      </c>
    </row>
    <row r="13" spans="1:8" ht="20.25" thickTop="1" thickBot="1" x14ac:dyDescent="0.35">
      <c r="A13" s="33">
        <v>194</v>
      </c>
      <c r="B13" s="190" t="str">
        <f>IFERROR(VLOOKUP(A13,ListaIngredientes!$A$5:$F$155,2,FALSE),"")</f>
        <v>Maçã</v>
      </c>
      <c r="C13" s="191"/>
      <c r="D13" s="35" t="str">
        <f>IFERROR(VLOOKUP(A13,Tabela2[],3,FALSE),"")</f>
        <v>kg</v>
      </c>
      <c r="E13" s="36">
        <v>100</v>
      </c>
      <c r="F13" s="192">
        <f>IFERROR(VLOOKUP(A13,ListaIngredientes!$A$5:$F$155,6,FALSE),"")</f>
        <v>3.9900000000000005E-3</v>
      </c>
      <c r="G13" s="192"/>
      <c r="H13" s="34">
        <f t="shared" si="0"/>
        <v>0.39900000000000002</v>
      </c>
    </row>
    <row r="14" spans="1:8" ht="20.25" thickTop="1" thickBot="1" x14ac:dyDescent="0.35">
      <c r="A14" s="33">
        <v>232</v>
      </c>
      <c r="B14" s="190" t="str">
        <f>IFERROR(VLOOKUP(A14,ListaIngredientes!$A$5:$F$155,2,FALSE),"")</f>
        <v>xilitol</v>
      </c>
      <c r="C14" s="191"/>
      <c r="D14" s="35" t="str">
        <f>IFERROR(VLOOKUP(A14,Tabela2[],3,FALSE),"")</f>
        <v>kg</v>
      </c>
      <c r="E14" s="36">
        <v>20</v>
      </c>
      <c r="F14" s="192">
        <f>IFERROR(VLOOKUP(A14,ListaIngredientes!$A$5:$F$155,6,FALSE),"")</f>
        <v>3.6520000000000004E-2</v>
      </c>
      <c r="G14" s="192"/>
      <c r="H14" s="34">
        <f t="shared" si="0"/>
        <v>0.73040000000000005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7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163</v>
      </c>
      <c r="B16" s="190" t="str">
        <f>IFERROR(VLOOKUP(A16,ListaIngredientes!$A$5:$F$155,2,FALSE),"")</f>
        <v xml:space="preserve">fermento biologico </v>
      </c>
      <c r="C16" s="191"/>
      <c r="D16" s="35" t="str">
        <f>IFERROR(VLOOKUP(A16,Tabela2[],3,FALSE),"")</f>
        <v>kg</v>
      </c>
      <c r="E16" s="36">
        <v>15</v>
      </c>
      <c r="F16" s="192">
        <f>IFERROR(VLOOKUP(A16,ListaIngredientes!$A$5:$F$155,6,FALSE),"")</f>
        <v>5.5119999999999995E-2</v>
      </c>
      <c r="G16" s="192"/>
      <c r="H16" s="34">
        <f t="shared" si="0"/>
        <v>0.82679999999999998</v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28.027313333333332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9"/>
  <sheetViews>
    <sheetView workbookViewId="0">
      <selection sqref="A1:H6"/>
    </sheetView>
  </sheetViews>
  <sheetFormatPr defaultRowHeight="15" x14ac:dyDescent="0.25"/>
  <cols>
    <col min="2" max="2" width="15.285156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115.63623076923078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385.45410256410253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115.63623076923078</v>
      </c>
      <c r="D3" s="213"/>
      <c r="E3" s="202" t="s">
        <v>284</v>
      </c>
      <c r="F3" s="202"/>
      <c r="G3" s="213">
        <f>G2*C5</f>
        <v>192.72705128205126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-6.9090820512820521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1503.2710000000002</v>
      </c>
      <c r="D6" s="205"/>
      <c r="E6" s="204" t="s">
        <v>283</v>
      </c>
      <c r="F6" s="204"/>
      <c r="G6" s="213">
        <f>G5*G4</f>
        <v>-103.63623076923078</v>
      </c>
      <c r="H6" s="216"/>
    </row>
    <row r="7" spans="1:8" ht="17.25" thickTop="1" thickBot="1" x14ac:dyDescent="0.3">
      <c r="A7" s="61" t="s">
        <v>5</v>
      </c>
      <c r="B7" s="195" t="s">
        <v>9</v>
      </c>
      <c r="C7" s="196"/>
      <c r="D7" s="61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4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230</v>
      </c>
      <c r="B9" s="190">
        <f>IFERROR(VLOOKUP(A9,ListaIngredientes!$A$5:$F$155,2,FALSE),"")</f>
        <v>0</v>
      </c>
      <c r="C9" s="191"/>
      <c r="D9" s="35" t="str">
        <f>IFERROR(VLOOKUP(A9,Tabela2[],3,FALSE),"")</f>
        <v>u</v>
      </c>
      <c r="E9" s="36">
        <v>50</v>
      </c>
      <c r="F9" s="192">
        <f>IFERROR(VLOOKUP(A9,ListaIngredientes!$A$5:$F$155,6,FALSE),"")</f>
        <v>0.14899999999999999</v>
      </c>
      <c r="G9" s="192"/>
      <c r="H9" s="34">
        <f t="shared" ref="H9:H28" si="0">IFERROR(E9*F9,"")</f>
        <v>7.4499999999999993</v>
      </c>
    </row>
    <row r="10" spans="1:8" ht="20.25" thickTop="1" thickBot="1" x14ac:dyDescent="0.35">
      <c r="A10" s="33">
        <v>202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30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231</v>
      </c>
      <c r="B11" s="190" t="str">
        <f>IFERROR(VLOOKUP(A11,ListaIngredientes!$A$5:$F$155,2,FALSE),"")</f>
        <v>sacola papel branco</v>
      </c>
      <c r="C11" s="191"/>
      <c r="D11" s="35" t="str">
        <f>IFERROR(VLOOKUP(A11,Tabela2[],3,FALSE),"")</f>
        <v>u</v>
      </c>
      <c r="E11" s="36">
        <v>50</v>
      </c>
      <c r="F11" s="192">
        <f>IFERROR(VLOOKUP(A11,ListaIngredientes!$A$5:$F$155,6,FALSE),"")</f>
        <v>14.9</v>
      </c>
      <c r="G11" s="192"/>
      <c r="H11" s="34">
        <f t="shared" si="0"/>
        <v>745</v>
      </c>
    </row>
    <row r="12" spans="1:8" ht="20.25" thickTop="1" thickBot="1" x14ac:dyDescent="0.35">
      <c r="A12" s="33">
        <v>103</v>
      </c>
      <c r="B12" s="190" t="str">
        <f>IFERROR(VLOOKUP(A12,ListaIngredientes!$A$5:$F$155,2,FALSE),"")</f>
        <v>Leite condensado</v>
      </c>
      <c r="C12" s="191"/>
      <c r="D12" s="35" t="str">
        <f>IFERROR(VLOOKUP(A12,Tabela2[],3,FALSE),"")</f>
        <v>ml</v>
      </c>
      <c r="E12" s="36">
        <v>75</v>
      </c>
      <c r="F12" s="192">
        <f>IFERROR(VLOOKUP(A12,ListaIngredientes!$A$5:$F$155,6,FALSE),"")</f>
        <v>4.4999999999999998E-2</v>
      </c>
      <c r="G12" s="192"/>
      <c r="H12" s="34">
        <f t="shared" si="0"/>
        <v>3.375</v>
      </c>
    </row>
    <row r="13" spans="1:8" ht="20.25" thickTop="1" thickBot="1" x14ac:dyDescent="0.35">
      <c r="A13" s="33">
        <v>183</v>
      </c>
      <c r="B13" s="190" t="str">
        <f>IFERROR(VLOOKUP(A13,ListaIngredientes!$A$5:$F$155,2,FALSE),"")</f>
        <v>gelatina sem sabor</v>
      </c>
      <c r="C13" s="191"/>
      <c r="D13" s="35" t="str">
        <f>IFERROR(VLOOKUP(A13,Tabela2[],3,FALSE),"")</f>
        <v>u</v>
      </c>
      <c r="E13" s="36">
        <v>125</v>
      </c>
      <c r="F13" s="192">
        <f>IFERROR(VLOOKUP(A13,ListaIngredientes!$A$5:$F$155,6,FALSE),"")</f>
        <v>5.05</v>
      </c>
      <c r="G13" s="192"/>
      <c r="H13" s="34">
        <f t="shared" si="0"/>
        <v>631.25</v>
      </c>
    </row>
    <row r="14" spans="1:8" ht="20.25" thickTop="1" thickBot="1" x14ac:dyDescent="0.35">
      <c r="A14" s="33">
        <v>142</v>
      </c>
      <c r="B14" s="190" t="str">
        <f>IFERROR(VLOOKUP(A14,ListaIngredientes!$A$5:$F$155,2,FALSE),"")</f>
        <v>embalagem galvanatec g32</v>
      </c>
      <c r="C14" s="191"/>
      <c r="D14" s="35" t="str">
        <f>IFERROR(VLOOKUP(A14,Tabela2[],3,FALSE),"")</f>
        <v>u</v>
      </c>
      <c r="E14" s="36">
        <v>125</v>
      </c>
      <c r="F14" s="192">
        <f>IFERROR(VLOOKUP(A14,ListaIngredientes!$A$5:$F$155,6,FALSE),"")</f>
        <v>0.09</v>
      </c>
      <c r="G14" s="192"/>
      <c r="H14" s="34">
        <f t="shared" si="0"/>
        <v>11.25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2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136</v>
      </c>
      <c r="B16" s="190" t="str">
        <f>IFERROR(VLOOKUP(A16,ListaIngredientes!$A$5:$F$155,2,FALSE),"")</f>
        <v>embalagem retangular torta g630</v>
      </c>
      <c r="C16" s="191"/>
      <c r="D16" s="35" t="str">
        <f>IFERROR(VLOOKUP(A16,Tabela2[],3,FALSE),"")</f>
        <v>u</v>
      </c>
      <c r="E16" s="36">
        <v>100</v>
      </c>
      <c r="F16" s="192">
        <f>IFERROR(VLOOKUP(A16,ListaIngredientes!$A$5:$F$155,6,FALSE),"")</f>
        <v>0.89</v>
      </c>
      <c r="G16" s="192"/>
      <c r="H16" s="34">
        <f t="shared" si="0"/>
        <v>89</v>
      </c>
    </row>
    <row r="17" spans="1:8" ht="20.25" thickTop="1" thickBot="1" x14ac:dyDescent="0.35">
      <c r="A17" s="33">
        <v>104</v>
      </c>
      <c r="B17" s="190" t="str">
        <f>IFERROR(VLOOKUP(A17,ListaIngredientes!$A$5:$F$155,2,FALSE),"")</f>
        <v>Leite Integral</v>
      </c>
      <c r="C17" s="191"/>
      <c r="D17" s="35" t="str">
        <f>IFERROR(VLOOKUP(A17,Tabela2[],3,FALSE),"")</f>
        <v>ml</v>
      </c>
      <c r="E17" s="36">
        <v>140</v>
      </c>
      <c r="F17" s="192">
        <f>IFERROR(VLOOKUP(A17,ListaIngredientes!$A$5:$F$155,6,FALSE),"")</f>
        <v>1.2E-2</v>
      </c>
      <c r="G17" s="192"/>
      <c r="H17" s="34">
        <f t="shared" si="0"/>
        <v>1.68</v>
      </c>
    </row>
    <row r="18" spans="1:8" ht="20.25" thickTop="1" thickBot="1" x14ac:dyDescent="0.35">
      <c r="A18" s="33">
        <v>107</v>
      </c>
      <c r="B18" s="190" t="str">
        <f>IFERROR(VLOOKUP(A18,ListaIngredientes!$A$5:$F$155,2,FALSE),"")</f>
        <v>Agua mineral</v>
      </c>
      <c r="C18" s="191"/>
      <c r="D18" s="35" t="str">
        <f>IFERROR(VLOOKUP(A18,Tabela2[],3,FALSE),"")</f>
        <v>ml</v>
      </c>
      <c r="E18" s="36">
        <v>140</v>
      </c>
      <c r="F18" s="192">
        <f>IFERROR(VLOOKUP(A18,ListaIngredientes!$A$5:$F$155,6,FALSE),"")</f>
        <v>4.6899999999999997E-2</v>
      </c>
      <c r="G18" s="192"/>
      <c r="H18" s="34">
        <f t="shared" si="0"/>
        <v>6.5659999999999998</v>
      </c>
    </row>
    <row r="19" spans="1:8" ht="20.25" thickTop="1" thickBot="1" x14ac:dyDescent="0.35">
      <c r="A19" s="33">
        <v>108</v>
      </c>
      <c r="B19" s="190" t="str">
        <f>IFERROR(VLOOKUP(A19,ListaIngredientes!$A$5:$F$155,2,FALSE),"")</f>
        <v>CANELA</v>
      </c>
      <c r="C19" s="191"/>
      <c r="D19" s="35" t="str">
        <f>IFERROR(VLOOKUP(A19,Tabela2[],3,FALSE),"")</f>
        <v>KG</v>
      </c>
      <c r="E19" s="36">
        <v>140</v>
      </c>
      <c r="F19" s="192">
        <f>IFERROR(VLOOKUP(A19,ListaIngredientes!$A$5:$F$155,6,FALSE),"")</f>
        <v>5.5E-2</v>
      </c>
      <c r="G19" s="192"/>
      <c r="H19" s="34">
        <f t="shared" si="0"/>
        <v>7.7</v>
      </c>
    </row>
    <row r="20" spans="1:8" ht="20.25" thickTop="1" thickBot="1" x14ac:dyDescent="0.35">
      <c r="A20" s="33">
        <v>180</v>
      </c>
      <c r="B20" s="190" t="str">
        <f>IFERROR(VLOOKUP(A20,ListaIngredientes!$A$5:$F$155,2,FALSE),"")</f>
        <v>GALVANATEC G742</v>
      </c>
      <c r="C20" s="191"/>
      <c r="D20" s="35" t="str">
        <f>IFERROR(VLOOKUP(A20,Tabela2[],3,FALSE),"")</f>
        <v>U</v>
      </c>
      <c r="E20" s="36">
        <v>35</v>
      </c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1503.2710000000002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8"/>
  <sheetViews>
    <sheetView workbookViewId="0">
      <selection sqref="A1:H6"/>
    </sheetView>
  </sheetViews>
  <sheetFormatPr defaultRowHeight="15" x14ac:dyDescent="0.25"/>
  <cols>
    <col min="2" max="2" width="17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5.6336512820512814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18.778837606837602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5.6336512820512814</v>
      </c>
      <c r="D3" s="213"/>
      <c r="E3" s="202" t="s">
        <v>284</v>
      </c>
      <c r="F3" s="202"/>
      <c r="G3" s="213">
        <f>G2*C5</f>
        <v>9.3894188034188009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0.42442324786324787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73.237466666666663</v>
      </c>
      <c r="D6" s="205"/>
      <c r="E6" s="204" t="s">
        <v>283</v>
      </c>
      <c r="F6" s="204"/>
      <c r="G6" s="213">
        <f>G5*G4</f>
        <v>6.3663487179487177</v>
      </c>
      <c r="H6" s="216"/>
    </row>
    <row r="7" spans="1:8" ht="17.25" thickTop="1" thickBot="1" x14ac:dyDescent="0.3">
      <c r="A7" s="62" t="s">
        <v>5</v>
      </c>
      <c r="B7" s="195" t="s">
        <v>9</v>
      </c>
      <c r="C7" s="196"/>
      <c r="D7" s="62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109</v>
      </c>
      <c r="B9" s="190" t="str">
        <f>IFERROR(VLOOKUP(A9,ListaIngredientes!$A$5:$F$155,2,FALSE),"")</f>
        <v>CASTANHA DO PARÁ</v>
      </c>
      <c r="C9" s="191"/>
      <c r="D9" s="35" t="str">
        <f>IFERROR(VLOOKUP(A9,Tabela2[],3,FALSE),"")</f>
        <v>KG</v>
      </c>
      <c r="E9" s="36">
        <v>15</v>
      </c>
      <c r="F9" s="192">
        <f>IFERROR(VLOOKUP(A9,ListaIngredientes!$A$5:$F$155,6,FALSE),"")</f>
        <v>3.5000000000000003E-2</v>
      </c>
      <c r="G9" s="192"/>
      <c r="H9" s="34">
        <f t="shared" ref="H9:H27" si="0">IFERROR(E9*F9,"")</f>
        <v>0.52500000000000002</v>
      </c>
    </row>
    <row r="10" spans="1:8" ht="20.25" thickTop="1" thickBot="1" x14ac:dyDescent="0.35">
      <c r="A10" s="33">
        <v>203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8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158</v>
      </c>
      <c r="B11" s="190" t="str">
        <f>IFERROR(VLOOKUP(A11,ListaIngredientes!$A$5:$F$155,2,FALSE),"")</f>
        <v>ESSENCIA DE BAUNILHA</v>
      </c>
      <c r="C11" s="191"/>
      <c r="D11" s="35" t="str">
        <f>IFERROR(VLOOKUP(A11,Tabela2[],3,FALSE),"")</f>
        <v>ML</v>
      </c>
      <c r="E11" s="36">
        <v>260</v>
      </c>
      <c r="F11" s="192">
        <f>IFERROR(VLOOKUP(A11,ListaIngredientes!$A$5:$F$155,6,FALSE),"")</f>
        <v>9.9666666666666667E-2</v>
      </c>
      <c r="G11" s="192"/>
      <c r="H11" s="34">
        <f t="shared" si="0"/>
        <v>25.913333333333334</v>
      </c>
    </row>
    <row r="12" spans="1:8" ht="20.25" thickTop="1" thickBot="1" x14ac:dyDescent="0.35">
      <c r="A12" s="33">
        <v>163</v>
      </c>
      <c r="B12" s="190" t="str">
        <f>IFERROR(VLOOKUP(A12,ListaIngredientes!$A$5:$F$155,2,FALSE),"")</f>
        <v xml:space="preserve">fermento biologico </v>
      </c>
      <c r="C12" s="191"/>
      <c r="D12" s="35" t="str">
        <f>IFERROR(VLOOKUP(A12,Tabela2[],3,FALSE),"")</f>
        <v>kg</v>
      </c>
      <c r="E12" s="36">
        <v>15</v>
      </c>
      <c r="F12" s="192">
        <f>IFERROR(VLOOKUP(A12,ListaIngredientes!$A$5:$F$155,6,FALSE),"")</f>
        <v>5.5119999999999995E-2</v>
      </c>
      <c r="G12" s="192"/>
      <c r="H12" s="34">
        <f t="shared" si="0"/>
        <v>0.82679999999999998</v>
      </c>
    </row>
    <row r="13" spans="1:8" ht="20.25" thickTop="1" thickBot="1" x14ac:dyDescent="0.35">
      <c r="A13" s="33">
        <v>232</v>
      </c>
      <c r="B13" s="190" t="str">
        <f>IFERROR(VLOOKUP(A13,ListaIngredientes!$A$5:$F$155,2,FALSE),"")</f>
        <v>xilitol</v>
      </c>
      <c r="C13" s="191"/>
      <c r="D13" s="35" t="str">
        <f>IFERROR(VLOOKUP(A13,Tabela2[],3,FALSE),"")</f>
        <v>kg</v>
      </c>
      <c r="E13" s="36">
        <v>50</v>
      </c>
      <c r="F13" s="192">
        <f>IFERROR(VLOOKUP(A13,ListaIngredientes!$A$5:$F$155,6,FALSE),"")</f>
        <v>3.6520000000000004E-2</v>
      </c>
      <c r="G13" s="192"/>
      <c r="H13" s="34">
        <f t="shared" si="0"/>
        <v>1.8260000000000003</v>
      </c>
    </row>
    <row r="14" spans="1:8" ht="20.25" thickTop="1" thickBot="1" x14ac:dyDescent="0.35">
      <c r="A14" s="33">
        <v>162</v>
      </c>
      <c r="B14" s="190" t="str">
        <f>IFERROR(VLOOKUP(A14,ListaIngredientes!$A$5:$F$155,2,FALSE),"")</f>
        <v>farinha de linhaça dourada</v>
      </c>
      <c r="C14" s="191"/>
      <c r="D14" s="35" t="str">
        <f>IFERROR(VLOOKUP(A14,Tabela2[],3,FALSE),"")</f>
        <v>kg</v>
      </c>
      <c r="E14" s="36">
        <v>240</v>
      </c>
      <c r="F14" s="192">
        <f>IFERROR(VLOOKUP(A14,ListaIngredientes!$A$5:$F$155,6,FALSE),"")</f>
        <v>2.4989999999999998E-2</v>
      </c>
      <c r="G14" s="192"/>
      <c r="H14" s="34">
        <f t="shared" si="0"/>
        <v>5.9975999999999994</v>
      </c>
    </row>
    <row r="15" spans="1:8" ht="20.25" thickTop="1" thickBot="1" x14ac:dyDescent="0.35">
      <c r="A15" s="33">
        <v>219</v>
      </c>
      <c r="B15" s="190" t="str">
        <f>IFERROR(VLOOKUP(A15,ListaIngredientes!$A$5:$F$155,2,FALSE),"")</f>
        <v>Queijo Minas</v>
      </c>
      <c r="C15" s="191"/>
      <c r="D15" s="35" t="str">
        <f>IFERROR(VLOOKUP(A15,Tabela2[],3,FALSE),"")</f>
        <v>g</v>
      </c>
      <c r="E15" s="36">
        <v>100</v>
      </c>
      <c r="F15" s="192">
        <f>IFERROR(VLOOKUP(A15,ListaIngredientes!$A$5:$F$155,6,FALSE),"")</f>
        <v>1.5299999999999999E-2</v>
      </c>
      <c r="G15" s="192"/>
      <c r="H15" s="34">
        <f t="shared" si="0"/>
        <v>1.53</v>
      </c>
    </row>
    <row r="16" spans="1:8" ht="20.25" thickTop="1" thickBot="1" x14ac:dyDescent="0.35">
      <c r="A16" s="33">
        <v>143</v>
      </c>
      <c r="B16" s="190">
        <f>IFERROR(VLOOKUP(A16,ListaIngredientes!$A$5:$F$155,2,FALSE),"")</f>
        <v>0</v>
      </c>
      <c r="C16" s="191"/>
      <c r="D16" s="35">
        <f>IFERROR(VLOOKUP(A16,Tabela2[],3,FALSE),"")</f>
        <v>0</v>
      </c>
      <c r="E16" s="36">
        <v>12</v>
      </c>
      <c r="F16" s="192">
        <f>IFERROR(VLOOKUP(A16,ListaIngredientes!$A$5:$F$155,6,FALSE),"")</f>
        <v>0</v>
      </c>
      <c r="G16" s="192"/>
      <c r="H16" s="34">
        <f t="shared" si="0"/>
        <v>0</v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27"/>
      <c r="B27" s="27"/>
      <c r="C27" s="27"/>
      <c r="D27" s="28"/>
      <c r="E27" s="29"/>
      <c r="F27" s="193" t="s">
        <v>124</v>
      </c>
      <c r="G27" s="193"/>
      <c r="H27" s="34" t="str">
        <f t="shared" si="0"/>
        <v/>
      </c>
    </row>
    <row r="28" spans="1:8" ht="15.75" thickTop="1" x14ac:dyDescent="0.25">
      <c r="H28" s="40">
        <f>SUM(H8:H27)</f>
        <v>36.618733333333331</v>
      </c>
    </row>
  </sheetData>
  <mergeCells count="64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E1:F1"/>
    <mergeCell ref="G1:H1"/>
    <mergeCell ref="C2:D2"/>
    <mergeCell ref="E2:F2"/>
    <mergeCell ref="G2:H2"/>
    <mergeCell ref="B24:C24"/>
    <mergeCell ref="F24:G24"/>
    <mergeCell ref="B26:C26"/>
    <mergeCell ref="F27:G27"/>
    <mergeCell ref="B25:C25"/>
    <mergeCell ref="F25:G25"/>
    <mergeCell ref="F26:G26"/>
    <mergeCell ref="E3:F3"/>
    <mergeCell ref="G3:H3"/>
    <mergeCell ref="E4:F4"/>
    <mergeCell ref="G4:H4"/>
    <mergeCell ref="B20:C20"/>
    <mergeCell ref="F20:G20"/>
    <mergeCell ref="B16:C16"/>
    <mergeCell ref="F16:G16"/>
    <mergeCell ref="B17:C17"/>
    <mergeCell ref="F17:G17"/>
    <mergeCell ref="B18:C18"/>
    <mergeCell ref="F18:G18"/>
    <mergeCell ref="B19:C19"/>
    <mergeCell ref="F19:G19"/>
    <mergeCell ref="B13:C13"/>
    <mergeCell ref="F13:G13"/>
    <mergeCell ref="B22:C22"/>
    <mergeCell ref="F22:G22"/>
    <mergeCell ref="B23:C23"/>
    <mergeCell ref="F23:G23"/>
    <mergeCell ref="E5:F5"/>
    <mergeCell ref="G5:H5"/>
    <mergeCell ref="E6:F6"/>
    <mergeCell ref="G6:H6"/>
    <mergeCell ref="B21:C21"/>
    <mergeCell ref="F21:G21"/>
    <mergeCell ref="B14:C14"/>
    <mergeCell ref="F14:G14"/>
    <mergeCell ref="B15:C15"/>
    <mergeCell ref="F15:G15"/>
    <mergeCell ref="B10:C10"/>
    <mergeCell ref="F10:G10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8"/>
  <sheetViews>
    <sheetView workbookViewId="0">
      <selection sqref="A1:H6"/>
    </sheetView>
  </sheetViews>
  <sheetFormatPr defaultRowHeight="15" x14ac:dyDescent="0.25"/>
  <cols>
    <col min="3" max="3" width="14.5703125" customWidth="1"/>
    <col min="8" max="8" width="15.57031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5.0801743589743591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16.933914529914528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5.0801743589743591</v>
      </c>
      <c r="D3" s="213"/>
      <c r="E3" s="202" t="s">
        <v>284</v>
      </c>
      <c r="F3" s="202"/>
      <c r="G3" s="213">
        <f>G2*C5</f>
        <v>8.466957264957264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0.46132170940170941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66.042266666666663</v>
      </c>
      <c r="D6" s="205"/>
      <c r="E6" s="204" t="s">
        <v>283</v>
      </c>
      <c r="F6" s="204"/>
      <c r="G6" s="213">
        <f>G5*G4</f>
        <v>6.9198256410256409</v>
      </c>
      <c r="H6" s="216"/>
    </row>
    <row r="7" spans="1:8" ht="17.25" thickTop="1" thickBot="1" x14ac:dyDescent="0.3">
      <c r="A7" s="90" t="s">
        <v>5</v>
      </c>
      <c r="B7" s="195" t="s">
        <v>9</v>
      </c>
      <c r="C7" s="196"/>
      <c r="D7" s="9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109</v>
      </c>
      <c r="B9" s="190" t="str">
        <f>IFERROR(VLOOKUP(A9,ListaIngredientes!$A$5:$F$155,2,FALSE),"")</f>
        <v>CASTANHA DO PARÁ</v>
      </c>
      <c r="C9" s="191"/>
      <c r="D9" s="35" t="str">
        <f>IFERROR(VLOOKUP(A9,Tabela2[],3,FALSE),"")</f>
        <v>KG</v>
      </c>
      <c r="E9" s="36">
        <v>15</v>
      </c>
      <c r="F9" s="192">
        <f>IFERROR(VLOOKUP(A9,ListaIngredientes!$A$5:$F$155,6,FALSE),"")</f>
        <v>3.5000000000000003E-2</v>
      </c>
      <c r="G9" s="192"/>
      <c r="H9" s="34">
        <f t="shared" ref="H9:H27" si="0">IFERROR(E9*F9,"")</f>
        <v>0.52500000000000002</v>
      </c>
    </row>
    <row r="10" spans="1:8" ht="20.25" thickTop="1" thickBot="1" x14ac:dyDescent="0.35">
      <c r="A10" s="33">
        <v>203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8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158</v>
      </c>
      <c r="B11" s="190" t="str">
        <f>IFERROR(VLOOKUP(A11,ListaIngredientes!$A$5:$F$155,2,FALSE),"")</f>
        <v>ESSENCIA DE BAUNILHA</v>
      </c>
      <c r="C11" s="191"/>
      <c r="D11" s="35" t="str">
        <f>IFERROR(VLOOKUP(A11,Tabela2[],3,FALSE),"")</f>
        <v>ML</v>
      </c>
      <c r="E11" s="36">
        <v>260</v>
      </c>
      <c r="F11" s="192">
        <f>IFERROR(VLOOKUP(A11,ListaIngredientes!$A$5:$F$155,6,FALSE),"")</f>
        <v>9.9666666666666667E-2</v>
      </c>
      <c r="G11" s="192"/>
      <c r="H11" s="34">
        <f t="shared" si="0"/>
        <v>25.913333333333334</v>
      </c>
    </row>
    <row r="12" spans="1:8" ht="20.25" thickTop="1" thickBot="1" x14ac:dyDescent="0.35">
      <c r="A12" s="33">
        <v>163</v>
      </c>
      <c r="B12" s="190" t="str">
        <f>IFERROR(VLOOKUP(A12,ListaIngredientes!$A$5:$F$155,2,FALSE),"")</f>
        <v xml:space="preserve">fermento biologico </v>
      </c>
      <c r="C12" s="191"/>
      <c r="D12" s="35" t="str">
        <f>IFERROR(VLOOKUP(A12,Tabela2[],3,FALSE),"")</f>
        <v>kg</v>
      </c>
      <c r="E12" s="36">
        <v>15</v>
      </c>
      <c r="F12" s="192">
        <f>IFERROR(VLOOKUP(A12,ListaIngredientes!$A$5:$F$155,6,FALSE),"")</f>
        <v>5.5119999999999995E-2</v>
      </c>
      <c r="G12" s="192"/>
      <c r="H12" s="34">
        <f t="shared" si="0"/>
        <v>0.82679999999999998</v>
      </c>
    </row>
    <row r="13" spans="1:8" ht="20.25" thickTop="1" thickBot="1" x14ac:dyDescent="0.35">
      <c r="A13" s="33">
        <v>232</v>
      </c>
      <c r="B13" s="190" t="str">
        <f>IFERROR(VLOOKUP(A13,ListaIngredientes!$A$5:$F$155,2,FALSE),"")</f>
        <v>xilitol</v>
      </c>
      <c r="C13" s="191"/>
      <c r="D13" s="35" t="str">
        <f>IFERROR(VLOOKUP(A13,Tabela2[],3,FALSE),"")</f>
        <v>kg</v>
      </c>
      <c r="E13" s="36">
        <v>50</v>
      </c>
      <c r="F13" s="192">
        <f>IFERROR(VLOOKUP(A13,ListaIngredientes!$A$5:$F$155,6,FALSE),"")</f>
        <v>3.6520000000000004E-2</v>
      </c>
      <c r="G13" s="192"/>
      <c r="H13" s="34">
        <f t="shared" si="0"/>
        <v>1.8260000000000003</v>
      </c>
    </row>
    <row r="14" spans="1:8" ht="20.25" thickTop="1" thickBot="1" x14ac:dyDescent="0.35">
      <c r="A14" s="33">
        <v>113</v>
      </c>
      <c r="B14" s="190" t="str">
        <f>IFERROR(VLOOKUP(A14,ListaIngredientes!$A$5:$F$155,2,FALSE),"")</f>
        <v>polvilho doce</v>
      </c>
      <c r="C14" s="191"/>
      <c r="D14" s="35" t="str">
        <f>IFERROR(VLOOKUP(A14,Tabela2[],3,FALSE),"")</f>
        <v>kg</v>
      </c>
      <c r="E14" s="36">
        <v>240</v>
      </c>
      <c r="F14" s="192">
        <f>IFERROR(VLOOKUP(A14,ListaIngredientes!$A$5:$F$155,6,FALSE),"")</f>
        <v>0.01</v>
      </c>
      <c r="G14" s="192"/>
      <c r="H14" s="34">
        <f t="shared" si="0"/>
        <v>2.4</v>
      </c>
    </row>
    <row r="15" spans="1:8" ht="20.25" thickTop="1" thickBot="1" x14ac:dyDescent="0.35">
      <c r="A15" s="33">
        <v>219</v>
      </c>
      <c r="B15" s="190" t="str">
        <f>IFERROR(VLOOKUP(A15,ListaIngredientes!$A$5:$F$155,2,FALSE),"")</f>
        <v>Queijo Minas</v>
      </c>
      <c r="C15" s="191"/>
      <c r="D15" s="35" t="str">
        <f>IFERROR(VLOOKUP(A15,Tabela2[],3,FALSE),"")</f>
        <v>g</v>
      </c>
      <c r="E15" s="36">
        <v>100</v>
      </c>
      <c r="F15" s="192">
        <f>IFERROR(VLOOKUP(A15,ListaIngredientes!$A$5:$F$155,6,FALSE),"")</f>
        <v>1.5299999999999999E-2</v>
      </c>
      <c r="G15" s="192"/>
      <c r="H15" s="34">
        <f t="shared" si="0"/>
        <v>1.53</v>
      </c>
    </row>
    <row r="16" spans="1:8" ht="20.25" thickTop="1" thickBot="1" x14ac:dyDescent="0.35">
      <c r="A16" s="33">
        <v>143</v>
      </c>
      <c r="B16" s="190">
        <f>IFERROR(VLOOKUP(A16,ListaIngredientes!$A$5:$F$155,2,FALSE),"")</f>
        <v>0</v>
      </c>
      <c r="C16" s="191"/>
      <c r="D16" s="35">
        <f>IFERROR(VLOOKUP(A16,Tabela2[],3,FALSE),"")</f>
        <v>0</v>
      </c>
      <c r="E16" s="36">
        <v>12</v>
      </c>
      <c r="F16" s="192">
        <f>IFERROR(VLOOKUP(A16,ListaIngredientes!$A$5:$F$155,6,FALSE),"")</f>
        <v>0</v>
      </c>
      <c r="G16" s="192"/>
      <c r="H16" s="34">
        <f t="shared" si="0"/>
        <v>0</v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27"/>
      <c r="B27" s="27"/>
      <c r="C27" s="27"/>
      <c r="D27" s="28"/>
      <c r="E27" s="29"/>
      <c r="F27" s="193" t="s">
        <v>124</v>
      </c>
      <c r="G27" s="193"/>
      <c r="H27" s="34" t="str">
        <f t="shared" si="0"/>
        <v/>
      </c>
    </row>
    <row r="28" spans="1:8" ht="15.75" thickTop="1" x14ac:dyDescent="0.25">
      <c r="H28" s="40">
        <f>SUM(H8:H27)</f>
        <v>33.021133333333331</v>
      </c>
    </row>
  </sheetData>
  <mergeCells count="64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F27:G27"/>
    <mergeCell ref="B23:C23"/>
    <mergeCell ref="F23:G23"/>
    <mergeCell ref="B24:C24"/>
    <mergeCell ref="F24:G24"/>
    <mergeCell ref="B25:C25"/>
    <mergeCell ref="F25:G25"/>
    <mergeCell ref="A6:B6"/>
    <mergeCell ref="C6:D6"/>
    <mergeCell ref="B26:C26"/>
    <mergeCell ref="F26:G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9"/>
  <sheetViews>
    <sheetView workbookViewId="0">
      <selection sqref="A1:H6"/>
    </sheetView>
  </sheetViews>
  <sheetFormatPr defaultRowHeight="15" x14ac:dyDescent="0.25"/>
  <cols>
    <col min="2" max="2" width="1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28.226138461538461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94.087128205128195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28.226138461538461</v>
      </c>
      <c r="D3" s="213"/>
      <c r="E3" s="202" t="s">
        <v>284</v>
      </c>
      <c r="F3" s="202"/>
      <c r="G3" s="213">
        <f>G2*C5</f>
        <v>47.043564102564098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-1.081742564102564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366.93979999999999</v>
      </c>
      <c r="D6" s="205"/>
      <c r="E6" s="204" t="s">
        <v>283</v>
      </c>
      <c r="F6" s="204"/>
      <c r="G6" s="213">
        <f>G5*G4</f>
        <v>-16.226138461538461</v>
      </c>
      <c r="H6" s="216"/>
    </row>
    <row r="7" spans="1:8" ht="17.25" thickTop="1" thickBot="1" x14ac:dyDescent="0.3">
      <c r="A7" s="63" t="s">
        <v>5</v>
      </c>
      <c r="B7" s="195" t="s">
        <v>9</v>
      </c>
      <c r="C7" s="196"/>
      <c r="D7" s="63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2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105</v>
      </c>
      <c r="B9" s="190" t="str">
        <f>IFERROR(VLOOKUP(A9,ListaIngredientes!$A$5:$F$155,2,FALSE),"")</f>
        <v>Bananas</v>
      </c>
      <c r="C9" s="191"/>
      <c r="D9" s="35" t="str">
        <f>IFERROR(VLOOKUP(A9,Tabela2[],3,FALSE),"")</f>
        <v>duzias</v>
      </c>
      <c r="E9" s="36">
        <v>20</v>
      </c>
      <c r="F9" s="192">
        <f>IFERROR(VLOOKUP(A9,ListaIngredientes!$A$5:$F$155,6,FALSE),"")</f>
        <v>0.5</v>
      </c>
      <c r="G9" s="192"/>
      <c r="H9" s="34">
        <f t="shared" ref="H9:H28" si="0">IFERROR(E9*F9,"")</f>
        <v>10</v>
      </c>
    </row>
    <row r="10" spans="1:8" ht="20.25" thickTop="1" thickBot="1" x14ac:dyDescent="0.35">
      <c r="A10" s="33">
        <v>202</v>
      </c>
      <c r="B10" s="190">
        <f>IFERROR(VLOOKUP(A10,ListaIngredientes!$A$5:$F$155,2,FALSE),"")</f>
        <v>0</v>
      </c>
      <c r="C10" s="191"/>
      <c r="D10" s="35">
        <f>IFERROR(VLOOKUP(A10,Tabela2[],3,FALSE),"")</f>
        <v>0</v>
      </c>
      <c r="E10" s="36">
        <v>100</v>
      </c>
      <c r="F10" s="192">
        <f>IFERROR(VLOOKUP(A10,ListaIngredientes!$A$5:$F$155,6,FALSE),"")</f>
        <v>0</v>
      </c>
      <c r="G10" s="192"/>
      <c r="H10" s="34">
        <f t="shared" si="0"/>
        <v>0</v>
      </c>
    </row>
    <row r="11" spans="1:8" ht="20.25" thickTop="1" thickBot="1" x14ac:dyDescent="0.35">
      <c r="A11" s="33">
        <v>230</v>
      </c>
      <c r="B11" s="190">
        <f>IFERROR(VLOOKUP(A11,ListaIngredientes!$A$5:$F$155,2,FALSE),"")</f>
        <v>0</v>
      </c>
      <c r="C11" s="191"/>
      <c r="D11" s="35" t="str">
        <f>IFERROR(VLOOKUP(A11,Tabela2[],3,FALSE),"")</f>
        <v>u</v>
      </c>
      <c r="E11" s="36">
        <v>85</v>
      </c>
      <c r="F11" s="192">
        <f>IFERROR(VLOOKUP(A11,ListaIngredientes!$A$5:$F$155,6,FALSE),"")</f>
        <v>0.14899999999999999</v>
      </c>
      <c r="G11" s="192"/>
      <c r="H11" s="34">
        <f t="shared" si="0"/>
        <v>12.664999999999999</v>
      </c>
    </row>
    <row r="12" spans="1:8" ht="20.25" thickTop="1" thickBot="1" x14ac:dyDescent="0.35">
      <c r="A12" s="33">
        <v>163</v>
      </c>
      <c r="B12" s="190" t="str">
        <f>IFERROR(VLOOKUP(A12,ListaIngredientes!$A$5:$F$155,2,FALSE),"")</f>
        <v xml:space="preserve">fermento biologico </v>
      </c>
      <c r="C12" s="191"/>
      <c r="D12" s="35" t="str">
        <f>IFERROR(VLOOKUP(A12,Tabela2[],3,FALSE),"")</f>
        <v>kg</v>
      </c>
      <c r="E12" s="36">
        <v>15</v>
      </c>
      <c r="F12" s="192">
        <f>IFERROR(VLOOKUP(A12,ListaIngredientes!$A$5:$F$155,6,FALSE),"")</f>
        <v>5.5119999999999995E-2</v>
      </c>
      <c r="G12" s="192"/>
      <c r="H12" s="34">
        <f t="shared" si="0"/>
        <v>0.82679999999999998</v>
      </c>
    </row>
    <row r="13" spans="1:8" ht="20.25" thickTop="1" thickBot="1" x14ac:dyDescent="0.35">
      <c r="A13" s="33">
        <v>243</v>
      </c>
      <c r="B13" s="190" t="str">
        <f>IFERROR(VLOOKUP(A13,ListaIngredientes!$A$5:$F$155,2,FALSE),"")</f>
        <v>Tomate</v>
      </c>
      <c r="C13" s="191"/>
      <c r="D13" s="35" t="str">
        <f>IFERROR(VLOOKUP(A13,Tabela2[],3,FALSE),"")</f>
        <v>KG</v>
      </c>
      <c r="E13" s="36">
        <v>2</v>
      </c>
      <c r="F13" s="192">
        <f>IFERROR(VLOOKUP(A13,ListaIngredientes!$A$5:$F$155,6,FALSE),"")</f>
        <v>4.0000000000000001E-3</v>
      </c>
      <c r="G13" s="192"/>
      <c r="H13" s="34">
        <f t="shared" si="0"/>
        <v>8.0000000000000002E-3</v>
      </c>
    </row>
    <row r="14" spans="1:8" ht="20.25" thickTop="1" thickBot="1" x14ac:dyDescent="0.35">
      <c r="A14" s="33">
        <v>188</v>
      </c>
      <c r="B14" s="190" t="str">
        <f>IFERROR(VLOOKUP(A14,ListaIngredientes!$A$5:$F$155,2,FALSE),"")</f>
        <v>LATA PALHA ITALIANA</v>
      </c>
      <c r="C14" s="191"/>
      <c r="D14" s="35" t="str">
        <f>IFERROR(VLOOKUP(A14,Tabela2[],3,FALSE),"")</f>
        <v>U</v>
      </c>
      <c r="E14" s="36">
        <v>200</v>
      </c>
      <c r="F14" s="192">
        <f>IFERROR(VLOOKUP(A14,ListaIngredientes!$A$5:$F$155,6,FALSE),"")</f>
        <v>1.59</v>
      </c>
      <c r="G14" s="192"/>
      <c r="H14" s="34">
        <f t="shared" si="0"/>
        <v>318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4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>
        <v>126</v>
      </c>
      <c r="B17" s="190" t="str">
        <f>IFERROR(VLOOKUP(A17,ListaIngredientes!$A$5:$F$155,2,FALSE),"")</f>
        <v>CHOCOLTE BRANCO</v>
      </c>
      <c r="C17" s="191"/>
      <c r="D17" s="35" t="str">
        <f>IFERROR(VLOOKUP(A17,Tabela2[],3,FALSE),"")</f>
        <v>KG</v>
      </c>
      <c r="E17" s="36">
        <v>160</v>
      </c>
      <c r="F17" s="192">
        <f>IFERROR(VLOOKUP(A17,ListaIngredientes!$A$5:$F$155,6,FALSE),"")</f>
        <v>0.159</v>
      </c>
      <c r="G17" s="192"/>
      <c r="H17" s="34">
        <f t="shared" si="0"/>
        <v>25.44</v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366.93979999999999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9"/>
  <sheetViews>
    <sheetView workbookViewId="0">
      <selection sqref="A1:H6"/>
    </sheetView>
  </sheetViews>
  <sheetFormatPr defaultRowHeight="15" x14ac:dyDescent="0.25"/>
  <cols>
    <col min="2" max="2" width="15.85546875" customWidth="1"/>
    <col min="5" max="5" width="16.57031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34.108108295625939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113.69369431875312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34.108108295625939</v>
      </c>
      <c r="D3" s="213"/>
      <c r="E3" s="202" t="s">
        <v>284</v>
      </c>
      <c r="F3" s="202"/>
      <c r="G3" s="213">
        <f>G2*C5</f>
        <v>56.846847159376559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-1.4738738863750627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443.4054078431372</v>
      </c>
      <c r="D6" s="205"/>
      <c r="E6" s="204" t="s">
        <v>283</v>
      </c>
      <c r="F6" s="204"/>
      <c r="G6" s="213">
        <f>G5*G4</f>
        <v>-22.108108295625939</v>
      </c>
      <c r="H6" s="216"/>
    </row>
    <row r="7" spans="1:8" ht="17.25" thickTop="1" thickBot="1" x14ac:dyDescent="0.3">
      <c r="A7" s="46" t="s">
        <v>5</v>
      </c>
      <c r="B7" s="195" t="s">
        <v>9</v>
      </c>
      <c r="C7" s="196"/>
      <c r="D7" s="46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4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230</v>
      </c>
      <c r="B9" s="190">
        <f>IFERROR(VLOOKUP(A9,ListaIngredientes!$A$5:$F$155,2,FALSE),"")</f>
        <v>0</v>
      </c>
      <c r="C9" s="191"/>
      <c r="D9" s="35" t="str">
        <f>IFERROR(VLOOKUP(A9,Tabela2[],3,FALSE),"")</f>
        <v>u</v>
      </c>
      <c r="E9" s="36">
        <v>110</v>
      </c>
      <c r="F9" s="192">
        <f>IFERROR(VLOOKUP(A9,ListaIngredientes!$A$5:$F$155,6,FALSE),"")</f>
        <v>0.14899999999999999</v>
      </c>
      <c r="G9" s="192"/>
      <c r="H9" s="34">
        <f t="shared" ref="H9:H27" si="0">IFERROR(E9*F9,"")</f>
        <v>16.39</v>
      </c>
    </row>
    <row r="10" spans="1:8" ht="20.25" thickTop="1" thickBot="1" x14ac:dyDescent="0.35">
      <c r="A10" s="33">
        <v>188</v>
      </c>
      <c r="B10" s="190" t="str">
        <f>IFERROR(VLOOKUP(A10,ListaIngredientes!$A$5:$F$155,2,FALSE),"")</f>
        <v>LATA PALHA ITALIANA</v>
      </c>
      <c r="C10" s="191"/>
      <c r="D10" s="35" t="str">
        <f>IFERROR(VLOOKUP(A10,Tabela2[],3,FALSE),"")</f>
        <v>U</v>
      </c>
      <c r="E10" s="36">
        <v>200</v>
      </c>
      <c r="F10" s="192">
        <f>IFERROR(VLOOKUP(A10,ListaIngredientes!$A$5:$F$155,6,FALSE),"")</f>
        <v>1.59</v>
      </c>
      <c r="G10" s="192"/>
      <c r="H10" s="34">
        <f t="shared" si="0"/>
        <v>318</v>
      </c>
    </row>
    <row r="11" spans="1:8" ht="20.25" thickTop="1" thickBot="1" x14ac:dyDescent="0.35">
      <c r="A11" s="33">
        <v>105</v>
      </c>
      <c r="B11" s="190" t="str">
        <f>IFERROR(VLOOKUP(A11,ListaIngredientes!$A$5:$F$155,2,FALSE),"")</f>
        <v>Bananas</v>
      </c>
      <c r="C11" s="191"/>
      <c r="D11" s="35" t="str">
        <f>IFERROR(VLOOKUP(A11,Tabela2[],3,FALSE),"")</f>
        <v>duzias</v>
      </c>
      <c r="E11" s="36">
        <v>20</v>
      </c>
      <c r="F11" s="192">
        <f>IFERROR(VLOOKUP(A11,ListaIngredientes!$A$5:$F$155,6,FALSE),"")</f>
        <v>0.5</v>
      </c>
      <c r="G11" s="192"/>
      <c r="H11" s="34">
        <f t="shared" si="0"/>
        <v>10</v>
      </c>
    </row>
    <row r="12" spans="1:8" ht="20.25" thickTop="1" thickBot="1" x14ac:dyDescent="0.35">
      <c r="A12" s="33">
        <v>182</v>
      </c>
      <c r="B12" s="190" t="str">
        <f>IFERROR(VLOOKUP(A12,ListaIngredientes!$A$5:$F$155,2,FALSE),"")</f>
        <v>GERGILIM</v>
      </c>
      <c r="C12" s="191"/>
      <c r="D12" s="35" t="str">
        <f>IFERROR(VLOOKUP(A12,Tabela2[],3,FALSE),"")</f>
        <v>KG</v>
      </c>
      <c r="E12" s="36">
        <v>1</v>
      </c>
      <c r="F12" s="192">
        <f>IFERROR(VLOOKUP(A12,ListaIngredientes!$A$5:$F$155,6,FALSE),"")</f>
        <v>2.9000000000000001E-2</v>
      </c>
      <c r="G12" s="192"/>
      <c r="H12" s="34">
        <f t="shared" si="0"/>
        <v>2.9000000000000001E-2</v>
      </c>
    </row>
    <row r="13" spans="1:8" ht="20.25" thickTop="1" thickBot="1" x14ac:dyDescent="0.35">
      <c r="A13" s="33">
        <v>158</v>
      </c>
      <c r="B13" s="190" t="str">
        <f>IFERROR(VLOOKUP(A13,ListaIngredientes!$A$5:$F$155,2,FALSE),"")</f>
        <v>ESSENCIA DE BAUNILHA</v>
      </c>
      <c r="C13" s="191"/>
      <c r="D13" s="35" t="str">
        <f>IFERROR(VLOOKUP(A13,Tabela2[],3,FALSE),"")</f>
        <v>ML</v>
      </c>
      <c r="E13" s="36">
        <v>130</v>
      </c>
      <c r="F13" s="192">
        <f>IFERROR(VLOOKUP(A13,ListaIngredientes!$A$5:$F$155,6,FALSE),"")</f>
        <v>9.9666666666666667E-2</v>
      </c>
      <c r="G13" s="192"/>
      <c r="H13" s="34">
        <f t="shared" si="0"/>
        <v>12.956666666666667</v>
      </c>
    </row>
    <row r="14" spans="1:8" ht="20.25" thickTop="1" thickBot="1" x14ac:dyDescent="0.35">
      <c r="A14" s="33">
        <v>163</v>
      </c>
      <c r="B14" s="190" t="str">
        <f>IFERROR(VLOOKUP(A14,ListaIngredientes!$A$5:$F$155,2,FALSE),"")</f>
        <v xml:space="preserve">fermento biologico </v>
      </c>
      <c r="C14" s="191"/>
      <c r="D14" s="35" t="str">
        <f>IFERROR(VLOOKUP(A14,Tabela2[],3,FALSE),"")</f>
        <v>kg</v>
      </c>
      <c r="E14" s="36">
        <v>15</v>
      </c>
      <c r="F14" s="192">
        <f>IFERROR(VLOOKUP(A14,ListaIngredientes!$A$5:$F$155,6,FALSE),"")</f>
        <v>5.5119999999999995E-2</v>
      </c>
      <c r="G14" s="192"/>
      <c r="H14" s="34">
        <f t="shared" si="0"/>
        <v>0.82679999999999998</v>
      </c>
    </row>
    <row r="15" spans="1:8" ht="20.25" thickTop="1" thickBot="1" x14ac:dyDescent="0.35">
      <c r="A15" s="33">
        <v>159</v>
      </c>
      <c r="B15" s="190" t="str">
        <f>IFERROR(VLOOKUP(A15,ListaIngredientes!$A$5:$F$155,2,FALSE),"")</f>
        <v>essencia de mel</v>
      </c>
      <c r="C15" s="191"/>
      <c r="D15" s="35" t="str">
        <f>IFERROR(VLOOKUP(A15,Tabela2[],3,FALSE),"")</f>
        <v>u</v>
      </c>
      <c r="E15" s="36">
        <v>30</v>
      </c>
      <c r="F15" s="192">
        <f>IFERROR(VLOOKUP(A15,ListaIngredientes!$A$5:$F$155,6,FALSE),"")</f>
        <v>2.59</v>
      </c>
      <c r="G15" s="192"/>
      <c r="H15" s="34">
        <f t="shared" si="0"/>
        <v>77.699999999999989</v>
      </c>
    </row>
    <row r="16" spans="1:8" ht="20.25" thickTop="1" thickBot="1" x14ac:dyDescent="0.35">
      <c r="A16" s="33">
        <v>139</v>
      </c>
      <c r="B16" s="190" t="str">
        <f>IFERROR(VLOOKUP(A16,ListaIngredientes!$A$5:$F$155,2,FALSE),"")</f>
        <v>cravo da india</v>
      </c>
      <c r="C16" s="191"/>
      <c r="D16" s="35" t="str">
        <f>IFERROR(VLOOKUP(A16,Tabela2[],3,FALSE),"")</f>
        <v>g</v>
      </c>
      <c r="E16" s="36">
        <v>600</v>
      </c>
      <c r="F16" s="192">
        <f>IFERROR(VLOOKUP(A16,ListaIngredientes!$A$5:$F$155,6,FALSE),"")</f>
        <v>5.8823529411764701E-4</v>
      </c>
      <c r="G16" s="192"/>
      <c r="H16" s="34">
        <f t="shared" si="0"/>
        <v>0.3529411764705882</v>
      </c>
    </row>
    <row r="17" spans="1:8" ht="20.25" thickTop="1" thickBot="1" x14ac:dyDescent="0.35">
      <c r="A17" s="33">
        <v>125</v>
      </c>
      <c r="B17" s="190">
        <f>IFERROR(VLOOKUP(A17,ListaIngredientes!$A$5:$F$155,2,FALSE),"")</f>
        <v>0</v>
      </c>
      <c r="C17" s="191"/>
      <c r="D17" s="35">
        <f>IFERROR(VLOOKUP(A17,Tabela2[],3,FALSE),"")</f>
        <v>0</v>
      </c>
      <c r="E17" s="36">
        <v>150</v>
      </c>
      <c r="F17" s="192">
        <f>IFERROR(VLOOKUP(A17,ListaIngredientes!$A$5:$F$155,6,FALSE),"")</f>
        <v>0</v>
      </c>
      <c r="G17" s="192"/>
      <c r="H17" s="34">
        <f t="shared" si="0"/>
        <v>0</v>
      </c>
    </row>
    <row r="18" spans="1:8" ht="20.25" thickTop="1" thickBot="1" x14ac:dyDescent="0.35">
      <c r="A18" s="33">
        <v>108</v>
      </c>
      <c r="B18" s="190" t="str">
        <f>IFERROR(VLOOKUP(A18,ListaIngredientes!$A$5:$F$155,2,FALSE),"")</f>
        <v>CANELA</v>
      </c>
      <c r="C18" s="191"/>
      <c r="D18" s="35" t="str">
        <f>IFERROR(VLOOKUP(A18,Tabela2[],3,FALSE),"")</f>
        <v>KG</v>
      </c>
      <c r="E18" s="36">
        <v>130</v>
      </c>
      <c r="F18" s="192">
        <f>IFERROR(VLOOKUP(A18,ListaIngredientes!$A$5:$F$155,6,FALSE),"")</f>
        <v>5.5E-2</v>
      </c>
      <c r="G18" s="192"/>
      <c r="H18" s="34">
        <f t="shared" si="0"/>
        <v>7.15</v>
      </c>
    </row>
    <row r="19" spans="1:8" ht="20.25" thickTop="1" thickBot="1" x14ac:dyDescent="0.35">
      <c r="A19" s="33">
        <v>131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1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/>
    </row>
    <row r="29" spans="1:8" ht="15.75" thickTop="1" x14ac:dyDescent="0.25"/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9"/>
  <sheetViews>
    <sheetView workbookViewId="0">
      <selection sqref="A1:H6"/>
    </sheetView>
  </sheetViews>
  <sheetFormatPr defaultRowHeight="15" x14ac:dyDescent="0.25"/>
  <cols>
    <col min="2" max="2" width="14.140625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32.450185218702863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108.16728406234286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32.450185218702863</v>
      </c>
      <c r="D3" s="213"/>
      <c r="E3" s="202" t="s">
        <v>284</v>
      </c>
      <c r="F3" s="202"/>
      <c r="G3" s="213">
        <f>G2*C5</f>
        <v>54.083642031171429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-1.3633456812468576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421.85240784313726</v>
      </c>
      <c r="D6" s="205"/>
      <c r="E6" s="204" t="s">
        <v>283</v>
      </c>
      <c r="F6" s="204"/>
      <c r="G6" s="213">
        <f>G5*G4</f>
        <v>-20.450185218702863</v>
      </c>
      <c r="H6" s="216"/>
    </row>
    <row r="7" spans="1:8" ht="17.25" thickTop="1" thickBot="1" x14ac:dyDescent="0.3">
      <c r="A7" s="46" t="s">
        <v>5</v>
      </c>
      <c r="B7" s="195" t="s">
        <v>9</v>
      </c>
      <c r="C7" s="196"/>
      <c r="D7" s="46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4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200</v>
      </c>
      <c r="F9" s="192">
        <f>IFERROR(VLOOKUP(A9,ListaIngredientes!$A$5:$F$155,6,FALSE),"")</f>
        <v>1.59</v>
      </c>
      <c r="G9" s="192"/>
      <c r="H9" s="34">
        <f t="shared" ref="H9:H28" si="0">IFERROR(E9*F9,"")</f>
        <v>318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85</v>
      </c>
      <c r="F10" s="192">
        <f>IFERROR(VLOOKUP(A10,ListaIngredientes!$A$5:$F$155,6,FALSE),"")</f>
        <v>0.14899999999999999</v>
      </c>
      <c r="G10" s="192"/>
      <c r="H10" s="34">
        <f t="shared" si="0"/>
        <v>12.664999999999999</v>
      </c>
    </row>
    <row r="11" spans="1:8" ht="20.25" thickTop="1" thickBot="1" x14ac:dyDescent="0.35">
      <c r="A11" s="33">
        <v>182</v>
      </c>
      <c r="B11" s="190" t="str">
        <f>IFERROR(VLOOKUP(A11,ListaIngredientes!$A$5:$F$155,2,FALSE),"")</f>
        <v>GERGILIM</v>
      </c>
      <c r="C11" s="191"/>
      <c r="D11" s="35" t="str">
        <f>IFERROR(VLOOKUP(A11,Tabela2[],3,FALSE),"")</f>
        <v>KG</v>
      </c>
      <c r="E11" s="36">
        <v>1</v>
      </c>
      <c r="F11" s="192">
        <f>IFERROR(VLOOKUP(A11,ListaIngredientes!$A$5:$F$155,6,FALSE),"")</f>
        <v>2.9000000000000001E-2</v>
      </c>
      <c r="G11" s="192"/>
      <c r="H11" s="34">
        <f t="shared" si="0"/>
        <v>2.9000000000000001E-2</v>
      </c>
    </row>
    <row r="12" spans="1:8" ht="20.25" thickTop="1" thickBot="1" x14ac:dyDescent="0.35">
      <c r="A12" s="33">
        <v>156</v>
      </c>
      <c r="B12" s="190" t="str">
        <f>IFERROR(VLOOKUP(A12,ListaIngredientes!$A$5:$F$155,2,FALSE),"")</f>
        <v>embalagem quiche</v>
      </c>
      <c r="C12" s="191"/>
      <c r="D12" s="35" t="str">
        <f>IFERROR(VLOOKUP(A12,Tabela2[],3,FALSE),"")</f>
        <v>u</v>
      </c>
      <c r="E12" s="36">
        <v>8</v>
      </c>
      <c r="F12" s="192">
        <f>IFERROR(VLOOKUP(A12,ListaIngredientes!$A$5:$F$155,6,FALSE),"")</f>
        <v>0.59899999999999998</v>
      </c>
      <c r="G12" s="192"/>
      <c r="H12" s="34">
        <f t="shared" si="0"/>
        <v>4.7919999999999998</v>
      </c>
    </row>
    <row r="13" spans="1:8" ht="20.25" thickTop="1" thickBot="1" x14ac:dyDescent="0.35">
      <c r="A13" s="33">
        <v>158</v>
      </c>
      <c r="B13" s="190" t="str">
        <f>IFERROR(VLOOKUP(A13,ListaIngredientes!$A$5:$F$155,2,FALSE),"")</f>
        <v>ESSENCIA DE BAUNILHA</v>
      </c>
      <c r="C13" s="191"/>
      <c r="D13" s="35" t="str">
        <f>IFERROR(VLOOKUP(A13,Tabela2[],3,FALSE),"")</f>
        <v>ML</v>
      </c>
      <c r="E13" s="36">
        <v>130</v>
      </c>
      <c r="F13" s="192">
        <f>IFERROR(VLOOKUP(A13,ListaIngredientes!$A$5:$F$155,6,FALSE),"")</f>
        <v>9.9666666666666667E-2</v>
      </c>
      <c r="G13" s="192"/>
      <c r="H13" s="34">
        <f t="shared" si="0"/>
        <v>12.956666666666667</v>
      </c>
    </row>
    <row r="14" spans="1:8" ht="20.25" thickTop="1" thickBot="1" x14ac:dyDescent="0.35">
      <c r="A14" s="33">
        <v>159</v>
      </c>
      <c r="B14" s="190" t="str">
        <f>IFERROR(VLOOKUP(A14,ListaIngredientes!$A$5:$F$155,2,FALSE),"")</f>
        <v>essencia de mel</v>
      </c>
      <c r="C14" s="191"/>
      <c r="D14" s="35" t="str">
        <f>IFERROR(VLOOKUP(A14,Tabela2[],3,FALSE),"")</f>
        <v>u</v>
      </c>
      <c r="E14" s="36">
        <v>20</v>
      </c>
      <c r="F14" s="192">
        <f>IFERROR(VLOOKUP(A14,ListaIngredientes!$A$5:$F$155,6,FALSE),"")</f>
        <v>2.59</v>
      </c>
      <c r="G14" s="192"/>
      <c r="H14" s="34">
        <f t="shared" si="0"/>
        <v>51.8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tr">
        <f>IFERROR(VLOOKUP(A15,Tabela2[],3,FALSE),"")</f>
        <v>kg</v>
      </c>
      <c r="E15" s="36">
        <v>15</v>
      </c>
      <c r="F15" s="192">
        <f>IFERROR(VLOOKUP(A15,ListaIngredientes!$A$5:$F$155,6,FALSE),"")</f>
        <v>5.5119999999999995E-2</v>
      </c>
      <c r="G15" s="192"/>
      <c r="H15" s="34">
        <f t="shared" si="0"/>
        <v>0.82679999999999998</v>
      </c>
    </row>
    <row r="16" spans="1:8" ht="20.25" thickTop="1" thickBot="1" x14ac:dyDescent="0.35">
      <c r="A16" s="33">
        <v>230</v>
      </c>
      <c r="B16" s="190">
        <f>IFERROR(VLOOKUP(A16,ListaIngredientes!$A$5:$F$155,2,FALSE),"")</f>
        <v>0</v>
      </c>
      <c r="C16" s="191"/>
      <c r="D16" s="35" t="str">
        <f>IFERROR(VLOOKUP(A16,Tabela2[],3,FALSE),"")</f>
        <v>u</v>
      </c>
      <c r="E16" s="36">
        <v>70</v>
      </c>
      <c r="F16" s="192">
        <f>IFERROR(VLOOKUP(A16,ListaIngredientes!$A$5:$F$155,6,FALSE),"")</f>
        <v>0.14899999999999999</v>
      </c>
      <c r="G16" s="192"/>
      <c r="H16" s="34">
        <f t="shared" si="0"/>
        <v>10.43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600</v>
      </c>
      <c r="F17" s="192">
        <f>IFERROR(VLOOKUP(A17,ListaIngredientes!$A$5:$F$155,6,FALSE),"")</f>
        <v>5.8823529411764701E-4</v>
      </c>
      <c r="G17" s="192"/>
      <c r="H17" s="34">
        <f t="shared" si="0"/>
        <v>0.3529411764705882</v>
      </c>
    </row>
    <row r="18" spans="1:8" ht="20.25" thickTop="1" thickBot="1" x14ac:dyDescent="0.35">
      <c r="A18" s="33">
        <v>105</v>
      </c>
      <c r="B18" s="190" t="str">
        <f>IFERROR(VLOOKUP(A18,ListaIngredientes!$A$5:$F$155,2,FALSE),"")</f>
        <v>Bananas</v>
      </c>
      <c r="C18" s="191"/>
      <c r="D18" s="35" t="str">
        <f>IFERROR(VLOOKUP(A18,Tabela2[],3,FALSE),"")</f>
        <v>duzias</v>
      </c>
      <c r="E18" s="36">
        <v>20</v>
      </c>
      <c r="F18" s="192">
        <f>IFERROR(VLOOKUP(A18,ListaIngredientes!$A$5:$F$155,6,FALSE),"")</f>
        <v>0.5</v>
      </c>
      <c r="G18" s="192"/>
      <c r="H18" s="34">
        <f t="shared" si="0"/>
        <v>10</v>
      </c>
    </row>
    <row r="19" spans="1:8" ht="20.25" thickTop="1" thickBot="1" x14ac:dyDescent="0.35">
      <c r="A19" s="33">
        <v>125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40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>
        <v>131</v>
      </c>
      <c r="B20" s="190">
        <f>IFERROR(VLOOKUP(A20,ListaIngredientes!$A$5:$F$155,2,FALSE),"")</f>
        <v>0</v>
      </c>
      <c r="C20" s="191"/>
      <c r="D20" s="35">
        <f>IFERROR(VLOOKUP(A20,Tabela2[],3,FALSE),"")</f>
        <v>0</v>
      </c>
      <c r="E20" s="36">
        <v>1</v>
      </c>
      <c r="F20" s="192">
        <f>IFERROR(VLOOKUP(A20,ListaIngredientes!$A$5:$F$155,6,FALSE),"")</f>
        <v>0</v>
      </c>
      <c r="G20" s="192"/>
      <c r="H20" s="34">
        <f t="shared" si="0"/>
        <v>0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/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9"/>
  <sheetViews>
    <sheetView workbookViewId="0">
      <selection sqref="A1:H6"/>
    </sheetView>
  </sheetViews>
  <sheetFormatPr defaultRowHeight="15" x14ac:dyDescent="0.25"/>
  <cols>
    <col min="2" max="2" width="16.85546875" customWidth="1"/>
    <col min="5" max="5" width="12.5703125" bestFit="1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63.93580935143288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213.11936450477623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63.93580935143288</v>
      </c>
      <c r="D3" s="213"/>
      <c r="E3" s="202" t="s">
        <v>284</v>
      </c>
      <c r="F3" s="202"/>
      <c r="G3" s="213">
        <f>G2*C5</f>
        <v>106.55968225238811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-3.4623872900955259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831.16552156862747</v>
      </c>
      <c r="D6" s="205"/>
      <c r="E6" s="204" t="s">
        <v>283</v>
      </c>
      <c r="F6" s="204"/>
      <c r="G6" s="213">
        <f>G5*G4</f>
        <v>-51.935809351432887</v>
      </c>
      <c r="H6" s="216"/>
    </row>
    <row r="7" spans="1:8" ht="17.25" thickTop="1" thickBot="1" x14ac:dyDescent="0.3">
      <c r="A7" s="64" t="s">
        <v>5</v>
      </c>
      <c r="B7" s="195" t="s">
        <v>9</v>
      </c>
      <c r="C7" s="196"/>
      <c r="D7" s="64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8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400</v>
      </c>
      <c r="F9" s="192">
        <f>IFERROR(VLOOKUP(A9,ListaIngredientes!$A$5:$F$155,6,FALSE),"")</f>
        <v>1.59</v>
      </c>
      <c r="G9" s="192"/>
      <c r="H9" s="34">
        <f t="shared" ref="H9:H28" si="0">IFERROR(E9*F9,"")</f>
        <v>636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170</v>
      </c>
      <c r="F10" s="192">
        <f>IFERROR(VLOOKUP(A10,ListaIngredientes!$A$5:$F$155,6,FALSE),"")</f>
        <v>0.14899999999999999</v>
      </c>
      <c r="G10" s="192"/>
      <c r="H10" s="34">
        <f t="shared" si="0"/>
        <v>25.33</v>
      </c>
    </row>
    <row r="11" spans="1:8" ht="20.25" thickTop="1" thickBot="1" x14ac:dyDescent="0.35">
      <c r="A11" s="33">
        <v>230</v>
      </c>
      <c r="B11" s="190">
        <f>IFERROR(VLOOKUP(A11,ListaIngredientes!$A$5:$F$155,2,FALSE),"")</f>
        <v>0</v>
      </c>
      <c r="C11" s="191"/>
      <c r="D11" s="35" t="str">
        <f>IFERROR(VLOOKUP(A11,Tabela2[],3,FALSE),"")</f>
        <v>u</v>
      </c>
      <c r="E11" s="36">
        <v>95</v>
      </c>
      <c r="F11" s="192">
        <f>IFERROR(VLOOKUP(A11,ListaIngredientes!$A$5:$F$155,6,FALSE),"")</f>
        <v>0.14899999999999999</v>
      </c>
      <c r="G11" s="192"/>
      <c r="H11" s="34">
        <f t="shared" si="0"/>
        <v>14.154999999999999</v>
      </c>
    </row>
    <row r="12" spans="1:8" ht="20.25" thickTop="1" thickBot="1" x14ac:dyDescent="0.35">
      <c r="A12" s="33">
        <v>163</v>
      </c>
      <c r="B12" s="190" t="str">
        <f>IFERROR(VLOOKUP(A12,ListaIngredientes!$A$5:$F$155,2,FALSE),"")</f>
        <v xml:space="preserve">fermento biologico </v>
      </c>
      <c r="C12" s="191"/>
      <c r="D12" s="35" t="str">
        <f>IFERROR(VLOOKUP(A12,Tabela2[],3,FALSE),"")</f>
        <v>kg</v>
      </c>
      <c r="E12" s="36">
        <v>30</v>
      </c>
      <c r="F12" s="192">
        <f>IFERROR(VLOOKUP(A12,ListaIngredientes!$A$5:$F$155,6,FALSE),"")</f>
        <v>5.5119999999999995E-2</v>
      </c>
      <c r="G12" s="192"/>
      <c r="H12" s="34">
        <f t="shared" si="0"/>
        <v>1.6536</v>
      </c>
    </row>
    <row r="13" spans="1:8" ht="20.25" thickTop="1" thickBot="1" x14ac:dyDescent="0.35">
      <c r="A13" s="33">
        <v>182</v>
      </c>
      <c r="B13" s="190" t="str">
        <f>IFERROR(VLOOKUP(A13,ListaIngredientes!$A$5:$F$155,2,FALSE),"")</f>
        <v>GERGILIM</v>
      </c>
      <c r="C13" s="191"/>
      <c r="D13" s="35" t="str">
        <f>IFERROR(VLOOKUP(A13,Tabela2[],3,FALSE),"")</f>
        <v>KG</v>
      </c>
      <c r="E13" s="36">
        <v>2</v>
      </c>
      <c r="F13" s="192">
        <f>IFERROR(VLOOKUP(A13,ListaIngredientes!$A$5:$F$155,6,FALSE),"")</f>
        <v>2.9000000000000001E-2</v>
      </c>
      <c r="G13" s="192"/>
      <c r="H13" s="34">
        <f t="shared" si="0"/>
        <v>5.8000000000000003E-2</v>
      </c>
    </row>
    <row r="14" spans="1:8" ht="20.25" thickTop="1" thickBot="1" x14ac:dyDescent="0.35">
      <c r="A14" s="33">
        <v>156</v>
      </c>
      <c r="B14" s="190" t="str">
        <f>IFERROR(VLOOKUP(A14,ListaIngredientes!$A$5:$F$155,2,FALSE),"")</f>
        <v>embalagem quiche</v>
      </c>
      <c r="C14" s="191"/>
      <c r="D14" s="35" t="str">
        <f>IFERROR(VLOOKUP(A14,Tabela2[],3,FALSE),"")</f>
        <v>u</v>
      </c>
      <c r="E14" s="36">
        <v>15</v>
      </c>
      <c r="F14" s="192">
        <f>IFERROR(VLOOKUP(A14,ListaIngredientes!$A$5:$F$155,6,FALSE),"")</f>
        <v>0.59899999999999998</v>
      </c>
      <c r="G14" s="192"/>
      <c r="H14" s="34">
        <f t="shared" si="0"/>
        <v>8.9849999999999994</v>
      </c>
    </row>
    <row r="15" spans="1:8" ht="20.25" thickTop="1" thickBot="1" x14ac:dyDescent="0.35">
      <c r="A15" s="33">
        <v>158</v>
      </c>
      <c r="B15" s="190" t="str">
        <f>IFERROR(VLOOKUP(A15,ListaIngredientes!$A$5:$F$155,2,FALSE),"")</f>
        <v>ESSENCIA DE BAUNILHA</v>
      </c>
      <c r="C15" s="191"/>
      <c r="D15" s="35" t="str">
        <f>IFERROR(VLOOKUP(A15,Tabela2[],3,FALSE),"")</f>
        <v>ML</v>
      </c>
      <c r="E15" s="36">
        <v>260</v>
      </c>
      <c r="F15" s="192">
        <f>IFERROR(VLOOKUP(A15,ListaIngredientes!$A$5:$F$155,6,FALSE),"")</f>
        <v>9.9666666666666667E-2</v>
      </c>
      <c r="G15" s="192"/>
      <c r="H15" s="34">
        <f t="shared" si="0"/>
        <v>25.913333333333334</v>
      </c>
    </row>
    <row r="16" spans="1:8" ht="20.25" thickTop="1" thickBot="1" x14ac:dyDescent="0.35">
      <c r="A16" s="33">
        <v>159</v>
      </c>
      <c r="B16" s="190" t="str">
        <f>IFERROR(VLOOKUP(A16,ListaIngredientes!$A$5:$F$155,2,FALSE),"")</f>
        <v>essencia de mel</v>
      </c>
      <c r="C16" s="191"/>
      <c r="D16" s="35" t="str">
        <f>IFERROR(VLOOKUP(A16,Tabela2[],3,FALSE),"")</f>
        <v>u</v>
      </c>
      <c r="E16" s="36">
        <v>40</v>
      </c>
      <c r="F16" s="192">
        <f>IFERROR(VLOOKUP(A16,ListaIngredientes!$A$5:$F$155,6,FALSE),"")</f>
        <v>2.59</v>
      </c>
      <c r="G16" s="192"/>
      <c r="H16" s="34">
        <f t="shared" si="0"/>
        <v>103.6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800</v>
      </c>
      <c r="F17" s="192">
        <f>IFERROR(VLOOKUP(A17,ListaIngredientes!$A$5:$F$155,6,FALSE),"")</f>
        <v>5.8823529411764701E-4</v>
      </c>
      <c r="G17" s="192"/>
      <c r="H17" s="34">
        <f t="shared" si="0"/>
        <v>0.47058823529411759</v>
      </c>
    </row>
    <row r="18" spans="1:8" ht="20.25" thickTop="1" thickBot="1" x14ac:dyDescent="0.35">
      <c r="A18" s="33">
        <v>105</v>
      </c>
      <c r="B18" s="190" t="str">
        <f>IFERROR(VLOOKUP(A18,ListaIngredientes!$A$5:$F$155,2,FALSE),"")</f>
        <v>Bananas</v>
      </c>
      <c r="C18" s="191"/>
      <c r="D18" s="35" t="str">
        <f>IFERROR(VLOOKUP(A18,Tabela2[],3,FALSE),"")</f>
        <v>duzias</v>
      </c>
      <c r="E18" s="36">
        <v>30</v>
      </c>
      <c r="F18" s="192">
        <f>IFERROR(VLOOKUP(A18,ListaIngredientes!$A$5:$F$155,6,FALSE),"")</f>
        <v>0.5</v>
      </c>
      <c r="G18" s="192"/>
      <c r="H18" s="34">
        <f t="shared" si="0"/>
        <v>15</v>
      </c>
    </row>
    <row r="19" spans="1:8" ht="20.25" thickTop="1" thickBot="1" x14ac:dyDescent="0.35">
      <c r="A19" s="33">
        <v>125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55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>
        <v>131</v>
      </c>
      <c r="B20" s="190">
        <f>IFERROR(VLOOKUP(A20,ListaIngredientes!$A$5:$F$155,2,FALSE),"")</f>
        <v>0</v>
      </c>
      <c r="C20" s="191"/>
      <c r="D20" s="35">
        <f>IFERROR(VLOOKUP(A20,Tabela2[],3,FALSE),"")</f>
        <v>0</v>
      </c>
      <c r="E20" s="36">
        <v>1</v>
      </c>
      <c r="F20" s="192">
        <f>IFERROR(VLOOKUP(A20,ListaIngredientes!$A$5:$F$155,6,FALSE),"")</f>
        <v>0</v>
      </c>
      <c r="G20" s="192"/>
      <c r="H20" s="34">
        <f t="shared" si="0"/>
        <v>0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831.16552156862747</v>
      </c>
    </row>
  </sheetData>
  <mergeCells count="66">
    <mergeCell ref="E6:F6"/>
    <mergeCell ref="G6:H6"/>
    <mergeCell ref="A2:B2"/>
    <mergeCell ref="C1:D1"/>
    <mergeCell ref="E1:F1"/>
    <mergeCell ref="G1:H1"/>
    <mergeCell ref="C2:D2"/>
    <mergeCell ref="E2:F2"/>
    <mergeCell ref="G2:H2"/>
    <mergeCell ref="C3:D3"/>
    <mergeCell ref="E3:F3"/>
    <mergeCell ref="G3:H3"/>
    <mergeCell ref="C4:D4"/>
    <mergeCell ref="E4:F4"/>
    <mergeCell ref="G4:H4"/>
    <mergeCell ref="E5:F5"/>
    <mergeCell ref="F11:G11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4:G14"/>
    <mergeCell ref="B19:C19"/>
    <mergeCell ref="F19:G19"/>
    <mergeCell ref="B20:C20"/>
    <mergeCell ref="F20:G20"/>
    <mergeCell ref="B18:C18"/>
    <mergeCell ref="B15:C15"/>
    <mergeCell ref="F28:G28"/>
    <mergeCell ref="B24:C24"/>
    <mergeCell ref="F24:G24"/>
    <mergeCell ref="B25:C25"/>
    <mergeCell ref="F25:G25"/>
    <mergeCell ref="F26:G26"/>
    <mergeCell ref="B26:C26"/>
    <mergeCell ref="B27:C27"/>
    <mergeCell ref="F27:G27"/>
    <mergeCell ref="B22:C22"/>
    <mergeCell ref="F22:G22"/>
    <mergeCell ref="B23:C23"/>
    <mergeCell ref="F23:G23"/>
    <mergeCell ref="F17:G17"/>
    <mergeCell ref="F18:G18"/>
    <mergeCell ref="B21:C21"/>
    <mergeCell ref="F21:G21"/>
    <mergeCell ref="F15:G15"/>
    <mergeCell ref="B16:C16"/>
    <mergeCell ref="F16:G16"/>
    <mergeCell ref="B17:C17"/>
    <mergeCell ref="A3:B3"/>
    <mergeCell ref="A5:B5"/>
    <mergeCell ref="C5:D5"/>
    <mergeCell ref="A6:B6"/>
    <mergeCell ref="C6:D6"/>
    <mergeCell ref="G5:H5"/>
    <mergeCell ref="A4:B4"/>
    <mergeCell ref="B12:C12"/>
    <mergeCell ref="F12:G12"/>
    <mergeCell ref="B13:C13"/>
    <mergeCell ref="F13:G13"/>
    <mergeCell ref="B14:C14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9"/>
  <sheetViews>
    <sheetView workbookViewId="0">
      <selection sqref="A1:H6"/>
    </sheetView>
  </sheetViews>
  <sheetFormatPr defaultRowHeight="15" x14ac:dyDescent="0.25"/>
  <cols>
    <col min="2" max="2" width="16.28515625" customWidth="1"/>
    <col min="5" max="5" width="12.5703125" bestFit="1" customWidth="1"/>
    <col min="6" max="6" width="10.7109375" bestFit="1" customWidth="1"/>
    <col min="8" max="8" width="14.8554687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63.93580935143288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213.11936450477623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63.93580935143288</v>
      </c>
      <c r="D3" s="213"/>
      <c r="E3" s="202" t="s">
        <v>284</v>
      </c>
      <c r="F3" s="202"/>
      <c r="G3" s="213">
        <f>G2*C5</f>
        <v>106.55968225238811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-3.4623872900955259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831.16552156862747</v>
      </c>
      <c r="D6" s="205"/>
      <c r="E6" s="204" t="s">
        <v>283</v>
      </c>
      <c r="F6" s="204"/>
      <c r="G6" s="213">
        <f>G5*G4</f>
        <v>-51.935809351432887</v>
      </c>
      <c r="H6" s="216"/>
    </row>
    <row r="7" spans="1:8" ht="17.25" thickTop="1" thickBot="1" x14ac:dyDescent="0.3">
      <c r="A7" s="64" t="s">
        <v>5</v>
      </c>
      <c r="B7" s="195" t="s">
        <v>9</v>
      </c>
      <c r="C7" s="196"/>
      <c r="D7" s="64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8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400</v>
      </c>
      <c r="F9" s="192">
        <f>IFERROR(VLOOKUP(A9,ListaIngredientes!$A$5:$F$155,6,FALSE),"")</f>
        <v>1.59</v>
      </c>
      <c r="G9" s="192"/>
      <c r="H9" s="34">
        <f t="shared" ref="H9:H28" si="0">IFERROR(E9*F9,"")</f>
        <v>636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170</v>
      </c>
      <c r="F10" s="192">
        <f>IFERROR(VLOOKUP(A10,ListaIngredientes!$A$5:$F$155,6,FALSE),"")</f>
        <v>0.14899999999999999</v>
      </c>
      <c r="G10" s="192"/>
      <c r="H10" s="34">
        <f t="shared" si="0"/>
        <v>25.33</v>
      </c>
    </row>
    <row r="11" spans="1:8" ht="20.25" thickTop="1" thickBot="1" x14ac:dyDescent="0.35">
      <c r="A11" s="33">
        <v>230</v>
      </c>
      <c r="B11" s="190">
        <f>IFERROR(VLOOKUP(A11,ListaIngredientes!$A$5:$F$155,2,FALSE),"")</f>
        <v>0</v>
      </c>
      <c r="C11" s="191"/>
      <c r="D11" s="35" t="str">
        <f>IFERROR(VLOOKUP(A11,Tabela2[],3,FALSE),"")</f>
        <v>u</v>
      </c>
      <c r="E11" s="36">
        <v>95</v>
      </c>
      <c r="F11" s="192">
        <f>IFERROR(VLOOKUP(A11,ListaIngredientes!$A$5:$F$155,6,FALSE),"")</f>
        <v>0.14899999999999999</v>
      </c>
      <c r="G11" s="192"/>
      <c r="H11" s="34">
        <f t="shared" si="0"/>
        <v>14.154999999999999</v>
      </c>
    </row>
    <row r="12" spans="1:8" ht="20.25" thickTop="1" thickBot="1" x14ac:dyDescent="0.35">
      <c r="A12" s="33">
        <v>163</v>
      </c>
      <c r="B12" s="190" t="str">
        <f>IFERROR(VLOOKUP(A12,ListaIngredientes!$A$5:$F$155,2,FALSE),"")</f>
        <v xml:space="preserve">fermento biologico </v>
      </c>
      <c r="C12" s="191"/>
      <c r="D12" s="35" t="str">
        <f>IFERROR(VLOOKUP(A12,Tabela2[],3,FALSE),"")</f>
        <v>kg</v>
      </c>
      <c r="E12" s="36">
        <v>30</v>
      </c>
      <c r="F12" s="192">
        <f>IFERROR(VLOOKUP(A12,ListaIngredientes!$A$5:$F$155,6,FALSE),"")</f>
        <v>5.5119999999999995E-2</v>
      </c>
      <c r="G12" s="192"/>
      <c r="H12" s="34">
        <f t="shared" si="0"/>
        <v>1.6536</v>
      </c>
    </row>
    <row r="13" spans="1:8" ht="20.25" thickTop="1" thickBot="1" x14ac:dyDescent="0.35">
      <c r="A13" s="33">
        <v>182</v>
      </c>
      <c r="B13" s="190" t="str">
        <f>IFERROR(VLOOKUP(A13,ListaIngredientes!$A$5:$F$155,2,FALSE),"")</f>
        <v>GERGILIM</v>
      </c>
      <c r="C13" s="191"/>
      <c r="D13" s="35" t="str">
        <f>IFERROR(VLOOKUP(A13,Tabela2[],3,FALSE),"")</f>
        <v>KG</v>
      </c>
      <c r="E13" s="36">
        <v>2</v>
      </c>
      <c r="F13" s="192">
        <f>IFERROR(VLOOKUP(A13,ListaIngredientes!$A$5:$F$155,6,FALSE),"")</f>
        <v>2.9000000000000001E-2</v>
      </c>
      <c r="G13" s="192"/>
      <c r="H13" s="34">
        <f t="shared" si="0"/>
        <v>5.8000000000000003E-2</v>
      </c>
    </row>
    <row r="14" spans="1:8" ht="20.25" thickTop="1" thickBot="1" x14ac:dyDescent="0.35">
      <c r="A14" s="33">
        <v>156</v>
      </c>
      <c r="B14" s="190" t="str">
        <f>IFERROR(VLOOKUP(A14,ListaIngredientes!$A$5:$F$155,2,FALSE),"")</f>
        <v>embalagem quiche</v>
      </c>
      <c r="C14" s="191"/>
      <c r="D14" s="35" t="str">
        <f>IFERROR(VLOOKUP(A14,Tabela2[],3,FALSE),"")</f>
        <v>u</v>
      </c>
      <c r="E14" s="36">
        <v>15</v>
      </c>
      <c r="F14" s="192">
        <f>IFERROR(VLOOKUP(A14,ListaIngredientes!$A$5:$F$155,6,FALSE),"")</f>
        <v>0.59899999999999998</v>
      </c>
      <c r="G14" s="192"/>
      <c r="H14" s="34">
        <f t="shared" si="0"/>
        <v>8.9849999999999994</v>
      </c>
    </row>
    <row r="15" spans="1:8" ht="20.25" thickTop="1" thickBot="1" x14ac:dyDescent="0.35">
      <c r="A15" s="33">
        <v>158</v>
      </c>
      <c r="B15" s="190" t="str">
        <f>IFERROR(VLOOKUP(A15,ListaIngredientes!$A$5:$F$155,2,FALSE),"")</f>
        <v>ESSENCIA DE BAUNILHA</v>
      </c>
      <c r="C15" s="191"/>
      <c r="D15" s="35" t="str">
        <f>IFERROR(VLOOKUP(A15,Tabela2[],3,FALSE),"")</f>
        <v>ML</v>
      </c>
      <c r="E15" s="36">
        <v>260</v>
      </c>
      <c r="F15" s="192">
        <f>IFERROR(VLOOKUP(A15,ListaIngredientes!$A$5:$F$155,6,FALSE),"")</f>
        <v>9.9666666666666667E-2</v>
      </c>
      <c r="G15" s="192"/>
      <c r="H15" s="34">
        <f t="shared" si="0"/>
        <v>25.913333333333334</v>
      </c>
    </row>
    <row r="16" spans="1:8" ht="20.25" thickTop="1" thickBot="1" x14ac:dyDescent="0.35">
      <c r="A16" s="33">
        <v>159</v>
      </c>
      <c r="B16" s="190" t="str">
        <f>IFERROR(VLOOKUP(A16,ListaIngredientes!$A$5:$F$155,2,FALSE),"")</f>
        <v>essencia de mel</v>
      </c>
      <c r="C16" s="191"/>
      <c r="D16" s="35" t="str">
        <f>IFERROR(VLOOKUP(A16,Tabela2[],3,FALSE),"")</f>
        <v>u</v>
      </c>
      <c r="E16" s="36">
        <v>40</v>
      </c>
      <c r="F16" s="192">
        <f>IFERROR(VLOOKUP(A16,ListaIngredientes!$A$5:$F$155,6,FALSE),"")</f>
        <v>2.59</v>
      </c>
      <c r="G16" s="192"/>
      <c r="H16" s="34">
        <f t="shared" si="0"/>
        <v>103.6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800</v>
      </c>
      <c r="F17" s="192">
        <f>IFERROR(VLOOKUP(A17,ListaIngredientes!$A$5:$F$155,6,FALSE),"")</f>
        <v>5.8823529411764701E-4</v>
      </c>
      <c r="G17" s="192"/>
      <c r="H17" s="34">
        <f t="shared" si="0"/>
        <v>0.47058823529411759</v>
      </c>
    </row>
    <row r="18" spans="1:8" ht="20.25" thickTop="1" thickBot="1" x14ac:dyDescent="0.35">
      <c r="A18" s="33">
        <v>105</v>
      </c>
      <c r="B18" s="190" t="str">
        <f>IFERROR(VLOOKUP(A18,ListaIngredientes!$A$5:$F$155,2,FALSE),"")</f>
        <v>Bananas</v>
      </c>
      <c r="C18" s="191"/>
      <c r="D18" s="35" t="str">
        <f>IFERROR(VLOOKUP(A18,Tabela2[],3,FALSE),"")</f>
        <v>duzias</v>
      </c>
      <c r="E18" s="36">
        <v>30</v>
      </c>
      <c r="F18" s="192">
        <f>IFERROR(VLOOKUP(A18,ListaIngredientes!$A$5:$F$155,6,FALSE),"")</f>
        <v>0.5</v>
      </c>
      <c r="G18" s="192"/>
      <c r="H18" s="34">
        <f t="shared" si="0"/>
        <v>15</v>
      </c>
    </row>
    <row r="19" spans="1:8" ht="20.25" thickTop="1" thickBot="1" x14ac:dyDescent="0.35">
      <c r="A19" s="33">
        <v>125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55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>
        <v>131</v>
      </c>
      <c r="B20" s="190">
        <f>IFERROR(VLOOKUP(A20,ListaIngredientes!$A$5:$F$155,2,FALSE),"")</f>
        <v>0</v>
      </c>
      <c r="C20" s="191"/>
      <c r="D20" s="35">
        <f>IFERROR(VLOOKUP(A20,Tabela2[],3,FALSE),"")</f>
        <v>0</v>
      </c>
      <c r="E20" s="36">
        <v>1</v>
      </c>
      <c r="F20" s="192">
        <f>IFERROR(VLOOKUP(A20,ListaIngredientes!$A$5:$F$155,6,FALSE),"")</f>
        <v>0</v>
      </c>
      <c r="G20" s="192"/>
      <c r="H20" s="34">
        <f t="shared" si="0"/>
        <v>0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831.16552156862747</v>
      </c>
    </row>
  </sheetData>
  <mergeCells count="66"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  <mergeCell ref="F7:G7"/>
    <mergeCell ref="B8:C8"/>
    <mergeCell ref="F8:G8"/>
    <mergeCell ref="B9:C9"/>
    <mergeCell ref="F9:G9"/>
    <mergeCell ref="B15:C15"/>
    <mergeCell ref="F15:G15"/>
    <mergeCell ref="B10:C10"/>
    <mergeCell ref="F10:G10"/>
    <mergeCell ref="B11:C11"/>
    <mergeCell ref="F11:G11"/>
    <mergeCell ref="B12:C12"/>
    <mergeCell ref="F12:G12"/>
    <mergeCell ref="E1:F1"/>
    <mergeCell ref="G1:H1"/>
    <mergeCell ref="C2:D2"/>
    <mergeCell ref="E2:F2"/>
    <mergeCell ref="G2:H2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B24:C24"/>
    <mergeCell ref="F24:G24"/>
    <mergeCell ref="B26:C26"/>
    <mergeCell ref="B27:C27"/>
    <mergeCell ref="F27:G27"/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9"/>
  <sheetViews>
    <sheetView workbookViewId="0">
      <selection sqref="A1:H6"/>
    </sheetView>
  </sheetViews>
  <sheetFormatPr defaultRowHeight="15" x14ac:dyDescent="0.25"/>
  <cols>
    <col min="8" max="8" width="13.57031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420.5626615384615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1401.8755384615381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420.5626615384615</v>
      </c>
      <c r="D3" s="213"/>
      <c r="E3" s="202" t="s">
        <v>284</v>
      </c>
      <c r="F3" s="202"/>
      <c r="G3" s="213">
        <f>G2*C5</f>
        <v>700.93776923076905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-27.237510769230767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5467.3145999999997</v>
      </c>
      <c r="D6" s="205"/>
      <c r="E6" s="204" t="s">
        <v>283</v>
      </c>
      <c r="F6" s="204"/>
      <c r="G6" s="213">
        <f>G5*G4</f>
        <v>-408.5626615384615</v>
      </c>
      <c r="H6" s="216"/>
    </row>
    <row r="7" spans="1:8" ht="17.25" thickTop="1" thickBot="1" x14ac:dyDescent="0.3">
      <c r="A7" s="65" t="s">
        <v>5</v>
      </c>
      <c r="B7" s="195" t="s">
        <v>9</v>
      </c>
      <c r="C7" s="196"/>
      <c r="D7" s="65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11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133</v>
      </c>
      <c r="B9" s="190" t="str">
        <f>IFERROR(VLOOKUP(A9,ListaIngredientes!$A$5:$F$155,2,FALSE),"")</f>
        <v>suporte para torta</v>
      </c>
      <c r="C9" s="191"/>
      <c r="D9" s="35" t="str">
        <f>IFERROR(VLOOKUP(A9,Tabela2[],3,FALSE),"")</f>
        <v>u</v>
      </c>
      <c r="E9" s="36">
        <v>11</v>
      </c>
      <c r="F9" s="192">
        <f>IFERROR(VLOOKUP(A9,ListaIngredientes!$A$5:$F$155,6,FALSE),"")</f>
        <v>4</v>
      </c>
      <c r="G9" s="192"/>
      <c r="H9" s="34">
        <f t="shared" ref="H9:H28" si="0">IFERROR(E9*F9,"")</f>
        <v>44</v>
      </c>
    </row>
    <row r="10" spans="1:8" ht="20.25" thickTop="1" thickBot="1" x14ac:dyDescent="0.35">
      <c r="A10" s="33"/>
      <c r="B10" s="190"/>
      <c r="C10" s="191"/>
      <c r="D10" s="35" t="str">
        <f>IFERROR(VLOOKUP(A10,Tabela2[],3,FALSE),"")</f>
        <v/>
      </c>
      <c r="E10" s="36"/>
      <c r="F10" s="192" t="str">
        <f>IFERROR(VLOOKUP(A10,ListaIngredientes!$A$5:$F$155,6,FALSE),"")</f>
        <v/>
      </c>
      <c r="G10" s="192"/>
      <c r="H10" s="34" t="str">
        <f t="shared" si="0"/>
        <v/>
      </c>
    </row>
    <row r="11" spans="1:8" ht="20.25" thickTop="1" thickBot="1" x14ac:dyDescent="0.35">
      <c r="A11" s="33">
        <v>158</v>
      </c>
      <c r="B11" s="190" t="str">
        <f>IFERROR(VLOOKUP(A11,ListaIngredientes!$A$5:$F$155,2,FALSE),"")</f>
        <v>ESSENCIA DE BAUNILHA</v>
      </c>
      <c r="C11" s="191"/>
      <c r="D11" s="35" t="str">
        <f>IFERROR(VLOOKUP(A11,Tabela2[],3,FALSE),"")</f>
        <v>ML</v>
      </c>
      <c r="E11" s="36">
        <v>480</v>
      </c>
      <c r="F11" s="192">
        <f>IFERROR(VLOOKUP(A11,ListaIngredientes!$A$5:$F$155,6,FALSE),"")</f>
        <v>9.9666666666666667E-2</v>
      </c>
      <c r="G11" s="192"/>
      <c r="H11" s="34">
        <f t="shared" si="0"/>
        <v>47.84</v>
      </c>
    </row>
    <row r="12" spans="1:8" ht="20.25" thickTop="1" thickBot="1" x14ac:dyDescent="0.35">
      <c r="A12" s="33">
        <v>216</v>
      </c>
      <c r="B12" s="190">
        <f>IFERROR(VLOOKUP(A12,ListaIngredientes!$A$5:$F$155,2,FALSE),"")</f>
        <v>0</v>
      </c>
      <c r="C12" s="191"/>
      <c r="D12" s="35">
        <f>IFERROR(VLOOKUP(A12,Tabela2[],3,FALSE),"")</f>
        <v>0</v>
      </c>
      <c r="E12" s="36">
        <v>40</v>
      </c>
      <c r="F12" s="192">
        <f>IFERROR(VLOOKUP(A12,ListaIngredientes!$A$5:$F$155,6,FALSE),"")</f>
        <v>0</v>
      </c>
      <c r="G12" s="192"/>
      <c r="H12" s="34">
        <f t="shared" si="0"/>
        <v>0</v>
      </c>
    </row>
    <row r="13" spans="1:8" ht="20.25" thickTop="1" thickBot="1" x14ac:dyDescent="0.35">
      <c r="A13" s="33">
        <v>163</v>
      </c>
      <c r="B13" s="190" t="str">
        <f>IFERROR(VLOOKUP(A13,ListaIngredientes!$A$5:$F$155,2,FALSE),"")</f>
        <v xml:space="preserve">fermento biologico </v>
      </c>
      <c r="C13" s="191"/>
      <c r="D13" s="35" t="str">
        <f>IFERROR(VLOOKUP(A13,Tabela2[],3,FALSE),"")</f>
        <v>kg</v>
      </c>
      <c r="E13" s="36">
        <v>60</v>
      </c>
      <c r="F13" s="192">
        <f>IFERROR(VLOOKUP(A13,ListaIngredientes!$A$5:$F$155,6,FALSE),"")</f>
        <v>5.5119999999999995E-2</v>
      </c>
      <c r="G13" s="192"/>
      <c r="H13" s="34">
        <f t="shared" si="0"/>
        <v>3.3071999999999999</v>
      </c>
    </row>
    <row r="14" spans="1:8" ht="20.25" thickTop="1" thickBot="1" x14ac:dyDescent="0.35">
      <c r="A14" s="33">
        <v>219</v>
      </c>
      <c r="B14" s="190" t="str">
        <f>IFERROR(VLOOKUP(A14,ListaIngredientes!$A$5:$F$155,2,FALSE),"")</f>
        <v>Queijo Minas</v>
      </c>
      <c r="C14" s="191"/>
      <c r="D14" s="35" t="str">
        <f>IFERROR(VLOOKUP(A14,Tabela2[],3,FALSE),"")</f>
        <v>g</v>
      </c>
      <c r="E14" s="36">
        <v>300</v>
      </c>
      <c r="F14" s="192">
        <f>IFERROR(VLOOKUP(A14,ListaIngredientes!$A$5:$F$155,6,FALSE),"")</f>
        <v>1.5299999999999999E-2</v>
      </c>
      <c r="G14" s="192"/>
      <c r="H14" s="34">
        <f t="shared" si="0"/>
        <v>4.59</v>
      </c>
    </row>
    <row r="15" spans="1:8" ht="20.25" thickTop="1" thickBot="1" x14ac:dyDescent="0.35">
      <c r="A15" s="33">
        <v>203</v>
      </c>
      <c r="B15" s="190">
        <f>IFERROR(VLOOKUP(A15,ListaIngredientes!$A$5:$F$155,2,FALSE),"")</f>
        <v>0</v>
      </c>
      <c r="C15" s="191"/>
      <c r="D15" s="35">
        <f>IFERROR(VLOOKUP(A15,Tabela2[],3,FALSE),"")</f>
        <v>0</v>
      </c>
      <c r="E15" s="36">
        <v>12</v>
      </c>
      <c r="F15" s="192">
        <f>IFERROR(VLOOKUP(A15,ListaIngredientes!$A$5:$F$155,6,FALSE),"")</f>
        <v>0</v>
      </c>
      <c r="G15" s="192"/>
      <c r="H15" s="34">
        <f t="shared" si="0"/>
        <v>0</v>
      </c>
    </row>
    <row r="16" spans="1:8" ht="20.25" thickTop="1" thickBot="1" x14ac:dyDescent="0.35">
      <c r="A16" s="33">
        <v>162</v>
      </c>
      <c r="B16" s="190" t="str">
        <f>IFERROR(VLOOKUP(A16,ListaIngredientes!$A$5:$F$155,2,FALSE),"")</f>
        <v>farinha de linhaça dourada</v>
      </c>
      <c r="C16" s="191"/>
      <c r="D16" s="35" t="str">
        <f>IFERROR(VLOOKUP(A16,Tabela2[],3,FALSE),"")</f>
        <v>kg</v>
      </c>
      <c r="E16" s="36">
        <v>300</v>
      </c>
      <c r="F16" s="192">
        <f>IFERROR(VLOOKUP(A16,ListaIngredientes!$A$5:$F$155,6,FALSE),"")</f>
        <v>2.4989999999999998E-2</v>
      </c>
      <c r="G16" s="192"/>
      <c r="H16" s="34">
        <f t="shared" si="0"/>
        <v>7.4969999999999999</v>
      </c>
    </row>
    <row r="17" spans="1:8" ht="20.25" thickTop="1" thickBot="1" x14ac:dyDescent="0.35">
      <c r="A17" s="33">
        <v>232</v>
      </c>
      <c r="B17" s="190" t="str">
        <f>IFERROR(VLOOKUP(A17,ListaIngredientes!$A$5:$F$155,2,FALSE),"")</f>
        <v>xilitol</v>
      </c>
      <c r="C17" s="191"/>
      <c r="D17" s="35" t="str">
        <f>IFERROR(VLOOKUP(A17,Tabela2[],3,FALSE),"")</f>
        <v>kg</v>
      </c>
      <c r="E17" s="36">
        <v>20</v>
      </c>
      <c r="F17" s="192">
        <f>IFERROR(VLOOKUP(A17,ListaIngredientes!$A$5:$F$155,6,FALSE),"")</f>
        <v>3.6520000000000004E-2</v>
      </c>
      <c r="G17" s="192"/>
      <c r="H17" s="34">
        <f t="shared" si="0"/>
        <v>0.73040000000000005</v>
      </c>
    </row>
    <row r="18" spans="1:8" ht="20.25" thickTop="1" thickBot="1" x14ac:dyDescent="0.35">
      <c r="A18" s="33">
        <v>122</v>
      </c>
      <c r="B18" s="190" t="str">
        <f>IFERROR(VLOOKUP(A18,ListaIngredientes!$A$5:$F$155,2,FALSE),"")</f>
        <v>CARNE PATINHO</v>
      </c>
      <c r="C18" s="191"/>
      <c r="D18" s="35" t="str">
        <f>IFERROR(VLOOKUP(A18,Tabela2[],3,FALSE),"")</f>
        <v>KG</v>
      </c>
      <c r="E18" s="36">
        <v>200</v>
      </c>
      <c r="F18" s="192">
        <f>IFERROR(VLOOKUP(A18,ListaIngredientes!$A$5:$F$155,6,FALSE),"")</f>
        <v>3.3000000000000002E-2</v>
      </c>
      <c r="G18" s="192"/>
      <c r="H18" s="34">
        <f t="shared" si="0"/>
        <v>6.6000000000000005</v>
      </c>
    </row>
    <row r="19" spans="1:8" ht="20.25" thickTop="1" thickBot="1" x14ac:dyDescent="0.35">
      <c r="A19" s="33">
        <v>218</v>
      </c>
      <c r="B19" s="190" t="str">
        <f>IFERROR(VLOOKUP(A19,ListaIngredientes!$A$5:$F$155,2,FALSE),"")</f>
        <v>psyllium</v>
      </c>
      <c r="C19" s="191"/>
      <c r="D19" s="35" t="str">
        <f>IFERROR(VLOOKUP(A19,Tabela2[],3,FALSE),"")</f>
        <v>kg</v>
      </c>
      <c r="E19" s="36">
        <v>50</v>
      </c>
      <c r="F19" s="192">
        <f>IFERROR(VLOOKUP(A19,ListaIngredientes!$A$5:$F$155,6,FALSE),"")</f>
        <v>5.5E-2</v>
      </c>
      <c r="G19" s="192"/>
      <c r="H19" s="34">
        <f t="shared" si="0"/>
        <v>2.75</v>
      </c>
    </row>
    <row r="20" spans="1:8" ht="20.25" thickTop="1" thickBot="1" x14ac:dyDescent="0.35">
      <c r="A20" s="33">
        <v>241</v>
      </c>
      <c r="B20" s="190" t="str">
        <f>IFERROR(VLOOKUP(A20,ListaIngredientes!$A$5:$F$155,2,FALSE),"")</f>
        <v>tampa transparente</v>
      </c>
      <c r="C20" s="191"/>
      <c r="D20" s="35" t="str">
        <f>IFERROR(VLOOKUP(A20,Tabela2[],3,FALSE),"")</f>
        <v>u</v>
      </c>
      <c r="E20" s="36">
        <v>500</v>
      </c>
      <c r="F20" s="192">
        <f>IFERROR(VLOOKUP(A20,ListaIngredientes!$A$5:$F$155,6,FALSE),"")</f>
        <v>10.7</v>
      </c>
      <c r="G20" s="192"/>
      <c r="H20" s="34">
        <f t="shared" si="0"/>
        <v>5350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5467.3145999999997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9"/>
  <sheetViews>
    <sheetView workbookViewId="0">
      <selection sqref="A1:H6"/>
    </sheetView>
  </sheetViews>
  <sheetFormatPr defaultRowHeight="15" x14ac:dyDescent="0.25"/>
  <cols>
    <col min="8" max="8" width="13.28515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5.0623390346908002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16.87446344896933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5.0623390346908002</v>
      </c>
      <c r="D3" s="213"/>
      <c r="E3" s="202" t="s">
        <v>284</v>
      </c>
      <c r="F3" s="202"/>
      <c r="G3" s="213">
        <f>G2*C5</f>
        <v>8.4372317244846649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0.4625107310206133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65.810407450980406</v>
      </c>
      <c r="D6" s="205"/>
      <c r="E6" s="204" t="s">
        <v>283</v>
      </c>
      <c r="F6" s="204"/>
      <c r="G6" s="213">
        <f>G5*G4</f>
        <v>6.9376609653091998</v>
      </c>
      <c r="H6" s="216"/>
    </row>
    <row r="7" spans="1:8" ht="17.25" thickTop="1" thickBot="1" x14ac:dyDescent="0.3">
      <c r="A7" s="67" t="s">
        <v>5</v>
      </c>
      <c r="B7" s="195" t="s">
        <v>9</v>
      </c>
      <c r="C7" s="196"/>
      <c r="D7" s="67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101</v>
      </c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>
        <v>6</v>
      </c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>
        <v>172</v>
      </c>
      <c r="B9" s="190">
        <f>IFERROR(VLOOKUP(A9,ListaIngredientes!$A$5:$F$155,2,FALSE),"")</f>
        <v>0</v>
      </c>
      <c r="C9" s="191"/>
      <c r="D9" s="35">
        <f>IFERROR(VLOOKUP(A9,Tabela2[],3,FALSE),"")</f>
        <v>0</v>
      </c>
      <c r="E9" s="36">
        <v>6</v>
      </c>
      <c r="F9" s="192">
        <f>IFERROR(VLOOKUP(A9,ListaIngredientes!$A$5:$F$155,6,FALSE),"")</f>
        <v>0</v>
      </c>
      <c r="G9" s="192"/>
      <c r="H9" s="34">
        <f t="shared" ref="H9:H28" si="0">IFERROR(E9*F9,"")</f>
        <v>0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145</v>
      </c>
      <c r="F10" s="192">
        <f>IFERROR(VLOOKUP(A10,ListaIngredientes!$A$5:$F$155,6,FALSE),"")</f>
        <v>0.14899999999999999</v>
      </c>
      <c r="G10" s="192"/>
      <c r="H10" s="34">
        <f t="shared" si="0"/>
        <v>21.605</v>
      </c>
    </row>
    <row r="11" spans="1:8" ht="20.25" thickTop="1" thickBot="1" x14ac:dyDescent="0.35">
      <c r="A11" s="33">
        <v>125</v>
      </c>
      <c r="B11" s="190">
        <f>IFERROR(VLOOKUP(A11,ListaIngredientes!$A$5:$F$155,2,FALSE),"")</f>
        <v>0</v>
      </c>
      <c r="C11" s="191"/>
      <c r="D11" s="35">
        <f>IFERROR(VLOOKUP(A11,Tabela2[],3,FALSE),"")</f>
        <v>0</v>
      </c>
      <c r="E11" s="36">
        <v>75</v>
      </c>
      <c r="F11" s="192">
        <f>IFERROR(VLOOKUP(A11,ListaIngredientes!$A$5:$F$155,6,FALSE),"")</f>
        <v>0</v>
      </c>
      <c r="G11" s="192"/>
      <c r="H11" s="34">
        <f t="shared" si="0"/>
        <v>0</v>
      </c>
    </row>
    <row r="12" spans="1:8" ht="20.25" thickTop="1" thickBot="1" x14ac:dyDescent="0.35">
      <c r="A12" s="33">
        <v>158</v>
      </c>
      <c r="B12" s="190" t="str">
        <f>IFERROR(VLOOKUP(A12,ListaIngredientes!$A$5:$F$155,2,FALSE),"")</f>
        <v>ESSENCIA DE BAUNILHA</v>
      </c>
      <c r="C12" s="191"/>
      <c r="D12" s="35" t="str">
        <f>IFERROR(VLOOKUP(A12,Tabela2[],3,FALSE),"")</f>
        <v>ML</v>
      </c>
      <c r="E12" s="36">
        <v>110</v>
      </c>
      <c r="F12" s="192">
        <f>IFERROR(VLOOKUP(A12,ListaIngredientes!$A$5:$F$155,6,FALSE),"")</f>
        <v>9.9666666666666667E-2</v>
      </c>
      <c r="G12" s="192"/>
      <c r="H12" s="34">
        <f t="shared" si="0"/>
        <v>10.963333333333333</v>
      </c>
    </row>
    <row r="13" spans="1:8" ht="20.25" thickTop="1" thickBot="1" x14ac:dyDescent="0.35">
      <c r="A13" s="33">
        <v>159</v>
      </c>
      <c r="B13" s="190" t="str">
        <f>IFERROR(VLOOKUP(A13,ListaIngredientes!$A$5:$F$155,2,FALSE),"")</f>
        <v>essencia de mel</v>
      </c>
      <c r="C13" s="191"/>
      <c r="D13" s="35" t="str">
        <f>IFERROR(VLOOKUP(A13,Tabela2[],3,FALSE),"")</f>
        <v>u</v>
      </c>
      <c r="E13" s="36">
        <v>7</v>
      </c>
      <c r="F13" s="192">
        <f>IFERROR(VLOOKUP(A13,ListaIngredientes!$A$5:$F$155,6,FALSE),"")</f>
        <v>2.59</v>
      </c>
      <c r="G13" s="192"/>
      <c r="H13" s="34">
        <f t="shared" si="0"/>
        <v>18.13</v>
      </c>
    </row>
    <row r="14" spans="1:8" ht="20.25" thickTop="1" thickBot="1" x14ac:dyDescent="0.35">
      <c r="A14" s="33">
        <v>160</v>
      </c>
      <c r="B14" s="190" t="str">
        <f>IFERROR(VLOOKUP(A14,ListaIngredientes!$A$5:$F$155,2,FALSE),"")</f>
        <v>farinha de amendoas</v>
      </c>
      <c r="C14" s="191"/>
      <c r="D14" s="35" t="str">
        <f>IFERROR(VLOOKUP(A14,Tabela2[],3,FALSE),"")</f>
        <v>kg</v>
      </c>
      <c r="E14" s="36">
        <v>7</v>
      </c>
      <c r="F14" s="192">
        <f>IFERROR(VLOOKUP(A14,ListaIngredientes!$A$5:$F$155,6,FALSE),"")</f>
        <v>6.3E-2</v>
      </c>
      <c r="G14" s="192"/>
      <c r="H14" s="34">
        <f t="shared" si="0"/>
        <v>0.441</v>
      </c>
    </row>
    <row r="15" spans="1:8" ht="20.25" thickTop="1" thickBot="1" x14ac:dyDescent="0.35">
      <c r="A15" s="33">
        <v>246</v>
      </c>
      <c r="B15" s="190" t="str">
        <f>IFERROR(VLOOKUP(A15,ListaIngredientes!$A$5:$F$155,2,FALSE),"")</f>
        <v>Uva Passas</v>
      </c>
      <c r="C15" s="191"/>
      <c r="D15" s="35" t="str">
        <f>IFERROR(VLOOKUP(A15,Tabela2[],3,FALSE),"")</f>
        <v>KG</v>
      </c>
      <c r="E15" s="36">
        <v>7</v>
      </c>
      <c r="F15" s="192">
        <f>IFERROR(VLOOKUP(A15,ListaIngredientes!$A$5:$F$155,6,FALSE),"")</f>
        <v>1.7999999999999999E-2</v>
      </c>
      <c r="G15" s="192"/>
      <c r="H15" s="34">
        <f t="shared" si="0"/>
        <v>0.126</v>
      </c>
    </row>
    <row r="16" spans="1:8" ht="20.25" thickTop="1" thickBot="1" x14ac:dyDescent="0.35">
      <c r="A16" s="33">
        <v>182</v>
      </c>
      <c r="B16" s="190" t="str">
        <f>IFERROR(VLOOKUP(A16,ListaIngredientes!$A$5:$F$155,2,FALSE),"")</f>
        <v>GERGILIM</v>
      </c>
      <c r="C16" s="191"/>
      <c r="D16" s="35" t="str">
        <f>IFERROR(VLOOKUP(A16,Tabela2[],3,FALSE),"")</f>
        <v>KG</v>
      </c>
      <c r="E16" s="36">
        <v>1</v>
      </c>
      <c r="F16" s="192">
        <f>IFERROR(VLOOKUP(A16,ListaIngredientes!$A$5:$F$155,6,FALSE),"")</f>
        <v>2.9000000000000001E-2</v>
      </c>
      <c r="G16" s="192"/>
      <c r="H16" s="34">
        <f t="shared" si="0"/>
        <v>2.9000000000000001E-2</v>
      </c>
    </row>
    <row r="17" spans="1:8" ht="20.25" thickTop="1" thickBot="1" x14ac:dyDescent="0.35">
      <c r="A17" s="33">
        <v>194</v>
      </c>
      <c r="B17" s="190" t="str">
        <f>IFERROR(VLOOKUP(A17,ListaIngredientes!$A$5:$F$155,2,FALSE),"")</f>
        <v>Maçã</v>
      </c>
      <c r="C17" s="191"/>
      <c r="D17" s="35" t="str">
        <f>IFERROR(VLOOKUP(A17,Tabela2[],3,FALSE),"")</f>
        <v>kg</v>
      </c>
      <c r="E17" s="36">
        <v>22</v>
      </c>
      <c r="F17" s="192">
        <f>IFERROR(VLOOKUP(A17,ListaIngredientes!$A$5:$F$155,6,FALSE),"")</f>
        <v>3.9900000000000005E-3</v>
      </c>
      <c r="G17" s="192"/>
      <c r="H17" s="34">
        <f t="shared" si="0"/>
        <v>8.7780000000000011E-2</v>
      </c>
    </row>
    <row r="18" spans="1:8" ht="20.25" thickTop="1" thickBot="1" x14ac:dyDescent="0.35">
      <c r="A18" s="33">
        <v>139</v>
      </c>
      <c r="B18" s="190" t="str">
        <f>IFERROR(VLOOKUP(A18,ListaIngredientes!$A$5:$F$155,2,FALSE),"")</f>
        <v>cravo da india</v>
      </c>
      <c r="C18" s="191"/>
      <c r="D18" s="35" t="str">
        <f>IFERROR(VLOOKUP(A18,Tabela2[],3,FALSE),"")</f>
        <v>g</v>
      </c>
      <c r="E18" s="36">
        <v>400</v>
      </c>
      <c r="F18" s="192">
        <f>IFERROR(VLOOKUP(A18,ListaIngredientes!$A$5:$F$155,6,FALSE),"")</f>
        <v>5.8823529411764701E-4</v>
      </c>
      <c r="G18" s="192"/>
      <c r="H18" s="34">
        <f t="shared" si="0"/>
        <v>0.23529411764705879</v>
      </c>
    </row>
    <row r="19" spans="1:8" ht="20.25" thickTop="1" thickBot="1" x14ac:dyDescent="0.35">
      <c r="A19" s="33"/>
      <c r="B19" s="190"/>
      <c r="C19" s="191"/>
      <c r="D19" s="35"/>
      <c r="E19" s="36"/>
      <c r="F19" s="192"/>
      <c r="G19" s="192"/>
      <c r="H19" s="34"/>
    </row>
    <row r="20" spans="1:8" ht="20.25" thickTop="1" thickBot="1" x14ac:dyDescent="0.35">
      <c r="A20" s="33">
        <v>105</v>
      </c>
      <c r="B20" s="190" t="str">
        <f>IFERROR(VLOOKUP(A20,ListaIngredientes!$A$5:$F$155,2,FALSE),"")</f>
        <v>Bananas</v>
      </c>
      <c r="C20" s="191"/>
      <c r="D20" s="35" t="str">
        <f>IFERROR(VLOOKUP(A20,Tabela2[],3,FALSE),"")</f>
        <v>duzias</v>
      </c>
      <c r="E20" s="36">
        <v>20</v>
      </c>
      <c r="F20" s="192">
        <f>IFERROR(VLOOKUP(A20,ListaIngredientes!$A$5:$F$155,6,FALSE),"")</f>
        <v>0.5</v>
      </c>
      <c r="G20" s="192"/>
      <c r="H20" s="34">
        <f t="shared" si="0"/>
        <v>10</v>
      </c>
    </row>
    <row r="21" spans="1:8" ht="20.25" thickTop="1" thickBot="1" x14ac:dyDescent="0.35">
      <c r="A21" s="33">
        <v>203</v>
      </c>
      <c r="B21" s="190">
        <f>IFERROR(VLOOKUP(A21,ListaIngredientes!$A$5:$F$155,2,FALSE),"")</f>
        <v>0</v>
      </c>
      <c r="C21" s="191"/>
      <c r="D21" s="35">
        <f>IFERROR(VLOOKUP(A21,Tabela2[],3,FALSE),"")</f>
        <v>0</v>
      </c>
      <c r="E21" s="36">
        <v>1</v>
      </c>
      <c r="F21" s="192">
        <f>IFERROR(VLOOKUP(A21,ListaIngredientes!$A$5:$F$155,6,FALSE),"")</f>
        <v>0</v>
      </c>
      <c r="G21" s="192"/>
      <c r="H21" s="34">
        <f t="shared" si="0"/>
        <v>0</v>
      </c>
    </row>
    <row r="22" spans="1:8" ht="20.25" thickTop="1" thickBot="1" x14ac:dyDescent="0.35">
      <c r="A22" s="33">
        <v>156</v>
      </c>
      <c r="B22" s="190" t="str">
        <f>IFERROR(VLOOKUP(A22,ListaIngredientes!$A$5:$F$155,2,FALSE),"")</f>
        <v>embalagem quiche</v>
      </c>
      <c r="C22" s="191"/>
      <c r="D22" s="35" t="str">
        <f>IFERROR(VLOOKUP(A22,Tabela2[],3,FALSE),"")</f>
        <v>u</v>
      </c>
      <c r="E22" s="36">
        <v>7</v>
      </c>
      <c r="F22" s="192">
        <f>IFERROR(VLOOKUP(A22,ListaIngredientes!$A$5:$F$155,6,FALSE),"")</f>
        <v>0.59899999999999998</v>
      </c>
      <c r="G22" s="192"/>
      <c r="H22" s="34">
        <f t="shared" si="0"/>
        <v>4.1929999999999996</v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6.5" thickTop="1" x14ac:dyDescent="0.25">
      <c r="A29" s="30"/>
      <c r="B29" s="30"/>
      <c r="C29" s="30"/>
      <c r="D29" s="31"/>
      <c r="E29" s="32"/>
      <c r="F29" s="30"/>
      <c r="G29" s="30"/>
      <c r="H29" s="58">
        <f>SUM(H8:H27)</f>
        <v>65.810407450980406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9"/>
  <sheetViews>
    <sheetView workbookViewId="0">
      <selection sqref="A1:H6"/>
    </sheetView>
  </sheetViews>
  <sheetFormatPr defaultRowHeight="15" x14ac:dyDescent="0.25"/>
  <cols>
    <col min="4" max="4" width="14.85546875" customWidth="1"/>
    <col min="8" max="8" width="11.8554687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16.36352464555053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54.545082151835096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16.36352464555053</v>
      </c>
      <c r="D3" s="213"/>
      <c r="E3" s="202" t="s">
        <v>284</v>
      </c>
      <c r="F3" s="202"/>
      <c r="G3" s="213">
        <f>G2*C5</f>
        <v>27.272541075917548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-0.29090164303670202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212.72582039215689</v>
      </c>
      <c r="D6" s="205"/>
      <c r="E6" s="204" t="s">
        <v>283</v>
      </c>
      <c r="F6" s="204"/>
      <c r="G6" s="213">
        <f>G5*G4</f>
        <v>-4.3635246455505303</v>
      </c>
      <c r="H6" s="216"/>
    </row>
    <row r="7" spans="1:8" ht="17.25" thickTop="1" thickBot="1" x14ac:dyDescent="0.3">
      <c r="A7" s="67" t="s">
        <v>5</v>
      </c>
      <c r="B7" s="195" t="s">
        <v>9</v>
      </c>
      <c r="C7" s="196"/>
      <c r="D7" s="67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2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100</v>
      </c>
      <c r="F9" s="192">
        <f>IFERROR(VLOOKUP(A9,ListaIngredientes!$A$5:$F$155,6,FALSE),"")</f>
        <v>1.59</v>
      </c>
      <c r="G9" s="192"/>
      <c r="H9" s="34">
        <f t="shared" ref="H9:H28" si="0">IFERROR(E9*F9,"")</f>
        <v>159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43</v>
      </c>
      <c r="F10" s="192">
        <f>IFERROR(VLOOKUP(A10,ListaIngredientes!$A$5:$F$155,6,FALSE),"")</f>
        <v>0.14899999999999999</v>
      </c>
      <c r="G10" s="192"/>
      <c r="H10" s="34">
        <f t="shared" si="0"/>
        <v>6.407</v>
      </c>
    </row>
    <row r="11" spans="1:8" ht="20.25" thickTop="1" thickBot="1" x14ac:dyDescent="0.35">
      <c r="A11" s="33">
        <v>230</v>
      </c>
      <c r="B11" s="190">
        <f>IFERROR(VLOOKUP(A11,ListaIngredientes!$A$5:$F$155,2,FALSE),"")</f>
        <v>0</v>
      </c>
      <c r="C11" s="191"/>
      <c r="D11" s="35" t="str">
        <f>IFERROR(VLOOKUP(A11,Tabela2[],3,FALSE),"")</f>
        <v>u</v>
      </c>
      <c r="E11" s="36">
        <v>35</v>
      </c>
      <c r="F11" s="192">
        <f>IFERROR(VLOOKUP(A11,ListaIngredientes!$A$5:$F$155,6,FALSE),"")</f>
        <v>0.14899999999999999</v>
      </c>
      <c r="G11" s="192"/>
      <c r="H11" s="34">
        <f t="shared" si="0"/>
        <v>5.2149999999999999</v>
      </c>
    </row>
    <row r="12" spans="1:8" ht="20.25" thickTop="1" thickBot="1" x14ac:dyDescent="0.35">
      <c r="A12" s="33">
        <v>163</v>
      </c>
      <c r="B12" s="190" t="str">
        <f>IFERROR(VLOOKUP(A12,ListaIngredientes!$A$5:$F$155,2,FALSE),"")</f>
        <v xml:space="preserve">fermento biologico </v>
      </c>
      <c r="C12" s="191"/>
      <c r="D12" s="35" t="str">
        <f>IFERROR(VLOOKUP(A12,Tabela2[],3,FALSE),"")</f>
        <v>kg</v>
      </c>
      <c r="E12" s="36">
        <v>7</v>
      </c>
      <c r="F12" s="192">
        <f>IFERROR(VLOOKUP(A12,ListaIngredientes!$A$5:$F$155,6,FALSE),"")</f>
        <v>5.5119999999999995E-2</v>
      </c>
      <c r="G12" s="192"/>
      <c r="H12" s="34">
        <f t="shared" si="0"/>
        <v>0.38583999999999996</v>
      </c>
    </row>
    <row r="13" spans="1:8" ht="20.25" thickTop="1" thickBot="1" x14ac:dyDescent="0.35">
      <c r="A13" s="33">
        <v>182</v>
      </c>
      <c r="B13" s="190" t="str">
        <f>IFERROR(VLOOKUP(A13,ListaIngredientes!$A$5:$F$155,2,FALSE),"")</f>
        <v>GERGILIM</v>
      </c>
      <c r="C13" s="191"/>
      <c r="D13" s="35" t="str">
        <f>IFERROR(VLOOKUP(A13,Tabela2[],3,FALSE),"")</f>
        <v>KG</v>
      </c>
      <c r="E13" s="36">
        <v>1</v>
      </c>
      <c r="F13" s="192">
        <f>IFERROR(VLOOKUP(A13,ListaIngredientes!$A$5:$F$155,6,FALSE),"")</f>
        <v>2.9000000000000001E-2</v>
      </c>
      <c r="G13" s="192"/>
      <c r="H13" s="34">
        <f t="shared" si="0"/>
        <v>2.9000000000000001E-2</v>
      </c>
    </row>
    <row r="14" spans="1:8" ht="20.25" thickTop="1" thickBot="1" x14ac:dyDescent="0.35">
      <c r="A14" s="33">
        <v>156</v>
      </c>
      <c r="B14" s="190" t="str">
        <f>IFERROR(VLOOKUP(A14,ListaIngredientes!$A$5:$F$155,2,FALSE),"")</f>
        <v>embalagem quiche</v>
      </c>
      <c r="C14" s="191"/>
      <c r="D14" s="35" t="str">
        <f>IFERROR(VLOOKUP(A14,Tabela2[],3,FALSE),"")</f>
        <v>u</v>
      </c>
      <c r="E14" s="36">
        <v>7</v>
      </c>
      <c r="F14" s="192">
        <f>IFERROR(VLOOKUP(A14,ListaIngredientes!$A$5:$F$155,6,FALSE),"")</f>
        <v>0.59899999999999998</v>
      </c>
      <c r="G14" s="192"/>
      <c r="H14" s="34">
        <f t="shared" si="0"/>
        <v>4.1929999999999996</v>
      </c>
    </row>
    <row r="15" spans="1:8" ht="20.25" thickTop="1" thickBot="1" x14ac:dyDescent="0.35">
      <c r="A15" s="33">
        <v>158</v>
      </c>
      <c r="B15" s="190" t="str">
        <f>IFERROR(VLOOKUP(A15,ListaIngredientes!$A$5:$F$155,2,FALSE),"")</f>
        <v>ESSENCIA DE BAUNILHA</v>
      </c>
      <c r="C15" s="191"/>
      <c r="D15" s="35" t="str">
        <f>IFERROR(VLOOKUP(A15,Tabela2[],3,FALSE),"")</f>
        <v>ML</v>
      </c>
      <c r="E15" s="36">
        <v>65</v>
      </c>
      <c r="F15" s="192">
        <f>IFERROR(VLOOKUP(A15,ListaIngredientes!$A$5:$F$155,6,FALSE),"")</f>
        <v>9.9666666666666667E-2</v>
      </c>
      <c r="G15" s="192"/>
      <c r="H15" s="34">
        <f t="shared" si="0"/>
        <v>6.4783333333333335</v>
      </c>
    </row>
    <row r="16" spans="1:8" ht="20.25" thickTop="1" thickBot="1" x14ac:dyDescent="0.35">
      <c r="A16" s="33">
        <v>159</v>
      </c>
      <c r="B16" s="190" t="str">
        <f>IFERROR(VLOOKUP(A16,ListaIngredientes!$A$5:$F$155,2,FALSE),"")</f>
        <v>essencia de mel</v>
      </c>
      <c r="C16" s="191"/>
      <c r="D16" s="35" t="str">
        <f>IFERROR(VLOOKUP(A16,Tabela2[],3,FALSE),"")</f>
        <v>u</v>
      </c>
      <c r="E16" s="36">
        <v>10</v>
      </c>
      <c r="F16" s="192">
        <f>IFERROR(VLOOKUP(A16,ListaIngredientes!$A$5:$F$155,6,FALSE),"")</f>
        <v>2.59</v>
      </c>
      <c r="G16" s="192"/>
      <c r="H16" s="34">
        <f t="shared" si="0"/>
        <v>25.9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200</v>
      </c>
      <c r="F17" s="192">
        <f>IFERROR(VLOOKUP(A17,ListaIngredientes!$A$5:$F$155,6,FALSE),"")</f>
        <v>5.8823529411764701E-4</v>
      </c>
      <c r="G17" s="192"/>
      <c r="H17" s="34">
        <f t="shared" si="0"/>
        <v>0.1176470588235294</v>
      </c>
    </row>
    <row r="18" spans="1:8" ht="20.25" thickTop="1" thickBot="1" x14ac:dyDescent="0.35">
      <c r="A18" s="33">
        <v>105</v>
      </c>
      <c r="B18" s="190" t="str">
        <f>IFERROR(VLOOKUP(A18,ListaIngredientes!$A$5:$F$155,2,FALSE),"")</f>
        <v>Bananas</v>
      </c>
      <c r="C18" s="191"/>
      <c r="D18" s="35" t="str">
        <f>IFERROR(VLOOKUP(A18,Tabela2[],3,FALSE),"")</f>
        <v>duzias</v>
      </c>
      <c r="E18" s="36">
        <v>10</v>
      </c>
      <c r="F18" s="192">
        <f>IFERROR(VLOOKUP(A18,ListaIngredientes!$A$5:$F$155,6,FALSE),"")</f>
        <v>0.5</v>
      </c>
      <c r="G18" s="192"/>
      <c r="H18" s="34">
        <f t="shared" si="0"/>
        <v>5</v>
      </c>
    </row>
    <row r="19" spans="1:8" ht="20.25" thickTop="1" thickBot="1" x14ac:dyDescent="0.35">
      <c r="A19" s="33">
        <v>125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35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>
        <v>172</v>
      </c>
      <c r="B20" s="190">
        <f>IFERROR(VLOOKUP(A20,ListaIngredientes!$A$5:$F$155,2,FALSE),"")</f>
        <v>0</v>
      </c>
      <c r="C20" s="191"/>
      <c r="D20" s="35">
        <f>IFERROR(VLOOKUP(A20,Tabela2[],3,FALSE),"")</f>
        <v>0</v>
      </c>
      <c r="E20" s="36">
        <v>8</v>
      </c>
      <c r="F20" s="192">
        <f>IFERROR(VLOOKUP(A20,ListaIngredientes!$A$5:$F$155,6,FALSE),"")</f>
        <v>0</v>
      </c>
      <c r="G20" s="192"/>
      <c r="H20" s="34">
        <f t="shared" si="0"/>
        <v>0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SUM(H8:H27)</f>
        <v>212.72582039215689</v>
      </c>
    </row>
  </sheetData>
  <mergeCells count="66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G1:H1"/>
    <mergeCell ref="E5:F5"/>
    <mergeCell ref="G5:H5"/>
    <mergeCell ref="E6:F6"/>
    <mergeCell ref="G6:H6"/>
    <mergeCell ref="E4:F4"/>
    <mergeCell ref="G4:H4"/>
    <mergeCell ref="E2:F2"/>
    <mergeCell ref="G2:H2"/>
    <mergeCell ref="E3:F3"/>
    <mergeCell ref="G3:H3"/>
    <mergeCell ref="C5:D5"/>
    <mergeCell ref="A6:B6"/>
    <mergeCell ref="C6:D6"/>
    <mergeCell ref="C1:D1"/>
    <mergeCell ref="E1:F1"/>
    <mergeCell ref="A4:B4"/>
    <mergeCell ref="C4:D4"/>
    <mergeCell ref="A3:B3"/>
    <mergeCell ref="A5:B5"/>
    <mergeCell ref="A2:B2"/>
    <mergeCell ref="C2:D2"/>
    <mergeCell ref="C3:D3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73"/>
  <sheetViews>
    <sheetView workbookViewId="0">
      <selection sqref="A1:H6"/>
    </sheetView>
  </sheetViews>
  <sheetFormatPr defaultRowHeight="15" x14ac:dyDescent="0.25"/>
  <cols>
    <col min="1" max="1" width="10.140625" bestFit="1" customWidth="1"/>
    <col min="2" max="2" width="10.7109375" bestFit="1" customWidth="1"/>
    <col min="4" max="4" width="5.85546875" customWidth="1"/>
    <col min="5" max="5" width="13.7109375" bestFit="1" customWidth="1"/>
    <col min="7" max="7" width="15.5703125" customWidth="1"/>
    <col min="8" max="8" width="12.140625" bestFit="1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112.98861236802415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376.62870789341378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112.98861236802415</v>
      </c>
      <c r="D3" s="213"/>
      <c r="E3" s="202" t="s">
        <v>284</v>
      </c>
      <c r="F3" s="202"/>
      <c r="G3" s="213">
        <f>G2*C5</f>
        <v>188.31435394670689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-6.7325741578682772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1468.8519607843139</v>
      </c>
      <c r="D6" s="205"/>
      <c r="E6" s="204" t="s">
        <v>283</v>
      </c>
      <c r="F6" s="204"/>
      <c r="G6" s="213">
        <f>G5*G4</f>
        <v>-100.98861236802416</v>
      </c>
      <c r="H6" s="216"/>
    </row>
    <row r="7" spans="1:8" ht="17.25" thickTop="1" thickBot="1" x14ac:dyDescent="0.3">
      <c r="A7" s="69" t="s">
        <v>5</v>
      </c>
      <c r="B7" s="195" t="s">
        <v>9</v>
      </c>
      <c r="C7" s="196"/>
      <c r="D7" s="6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230</v>
      </c>
      <c r="B8" s="190">
        <f>IFERROR(VLOOKUP(A8,ListaIngredientes!$A$5:$F$155,2,FALSE),"")</f>
        <v>0</v>
      </c>
      <c r="C8" s="191"/>
      <c r="D8" s="35" t="str">
        <f>IFERROR(VLOOKUP(A8,Tabela2[],3,FALSE),"")</f>
        <v>u</v>
      </c>
      <c r="E8" s="36">
        <v>280</v>
      </c>
      <c r="F8" s="192">
        <f>IFERROR(VLOOKUP(A8,ListaIngredientes!$A$5:$F$155,6,FALSE),"")</f>
        <v>0.14899999999999999</v>
      </c>
      <c r="G8" s="192"/>
      <c r="H8" s="34">
        <f>IFERROR(E8*F8,"")</f>
        <v>41.72</v>
      </c>
    </row>
    <row r="9" spans="1:8" ht="20.25" thickTop="1" thickBot="1" x14ac:dyDescent="0.35">
      <c r="A9" s="33">
        <v>139</v>
      </c>
      <c r="B9" s="190" t="str">
        <f>IFERROR(VLOOKUP(A9,ListaIngredientes!$A$5:$F$155,2,FALSE),"")</f>
        <v>cravo da india</v>
      </c>
      <c r="C9" s="191"/>
      <c r="D9" s="35" t="str">
        <f>IFERROR(VLOOKUP(A9,Tabela2[],3,FALSE),"")</f>
        <v>g</v>
      </c>
      <c r="E9" s="36">
        <v>400</v>
      </c>
      <c r="F9" s="192">
        <f>IFERROR(VLOOKUP(A9,ListaIngredientes!$A$5:$F$155,6,FALSE),"")</f>
        <v>5.8823529411764701E-4</v>
      </c>
      <c r="G9" s="192"/>
      <c r="H9" s="34">
        <f t="shared" ref="H9:H28" si="0">IFERROR(E9*F9,"")</f>
        <v>0.23529411764705879</v>
      </c>
    </row>
    <row r="10" spans="1:8" ht="20.25" thickTop="1" thickBot="1" x14ac:dyDescent="0.35">
      <c r="A10" s="33">
        <v>188</v>
      </c>
      <c r="B10" s="190" t="str">
        <f>IFERROR(VLOOKUP(A10,ListaIngredientes!$A$5:$F$155,2,FALSE),"")</f>
        <v>LATA PALHA ITALIANA</v>
      </c>
      <c r="C10" s="191"/>
      <c r="D10" s="35" t="str">
        <f>IFERROR(VLOOKUP(A10,Tabela2[],3,FALSE),"")</f>
        <v>U</v>
      </c>
      <c r="E10" s="36">
        <v>500</v>
      </c>
      <c r="F10" s="192">
        <f>IFERROR(VLOOKUP(A10,ListaIngredientes!$A$5:$F$155,6,FALSE),"")</f>
        <v>1.59</v>
      </c>
      <c r="G10" s="192"/>
      <c r="H10" s="34">
        <f t="shared" si="0"/>
        <v>795</v>
      </c>
    </row>
    <row r="11" spans="1:8" ht="20.25" thickTop="1" thickBot="1" x14ac:dyDescent="0.35">
      <c r="A11" s="33">
        <v>102</v>
      </c>
      <c r="B11" s="190" t="str">
        <f>IFERROR(VLOOKUP(A11,ListaIngredientes!$A$5:$F$155,2,FALSE),"")</f>
        <v>Ovos Branco</v>
      </c>
      <c r="C11" s="191"/>
      <c r="D11" s="35" t="str">
        <f>IFERROR(VLOOKUP(A11,Tabela2[],3,FALSE),"")</f>
        <v>duzia</v>
      </c>
      <c r="E11" s="36">
        <v>370</v>
      </c>
      <c r="F11" s="192">
        <f>IFERROR(VLOOKUP(A11,ListaIngredientes!$A$5:$F$155,6,FALSE),"")</f>
        <v>1.6666666666666667</v>
      </c>
      <c r="G11" s="192"/>
      <c r="H11" s="34">
        <f t="shared" si="0"/>
        <v>616.66666666666674</v>
      </c>
    </row>
    <row r="12" spans="1:8" ht="20.25" thickTop="1" thickBot="1" x14ac:dyDescent="0.35">
      <c r="A12" s="33">
        <v>127</v>
      </c>
      <c r="B12" s="190" t="str">
        <f>IFERROR(VLOOKUP(A12,ListaIngredientes!$A$5:$F$155,2,FALSE),"")</f>
        <v>CHOCOLATE 70%</v>
      </c>
      <c r="C12" s="191"/>
      <c r="D12" s="35" t="str">
        <f>IFERROR(VLOOKUP(A12,Tabela2[],3,FALSE),"")</f>
        <v>KG</v>
      </c>
      <c r="E12" s="36">
        <v>120</v>
      </c>
      <c r="F12" s="192">
        <f>IFERROR(VLOOKUP(A12,ListaIngredientes!$A$5:$F$155,6,FALSE),"")</f>
        <v>0.10199999999999999</v>
      </c>
      <c r="G12" s="192"/>
      <c r="H12" s="34">
        <f t="shared" si="0"/>
        <v>12.239999999999998</v>
      </c>
    </row>
    <row r="13" spans="1:8" ht="20.25" thickTop="1" thickBot="1" x14ac:dyDescent="0.35">
      <c r="A13" s="33">
        <v>251</v>
      </c>
      <c r="B13" s="190" t="s">
        <v>258</v>
      </c>
      <c r="C13" s="191"/>
      <c r="D13" s="35" t="str">
        <f>IFERROR(VLOOKUP(A13,Tabela2[],3,FALSE),"")</f>
        <v>ml</v>
      </c>
      <c r="E13" s="36">
        <v>500</v>
      </c>
      <c r="F13" s="192">
        <v>0.05</v>
      </c>
      <c r="G13" s="192"/>
      <c r="H13" s="34">
        <v>2.99</v>
      </c>
    </row>
    <row r="14" spans="1:8" ht="20.25" thickTop="1" thickBot="1" x14ac:dyDescent="0.35">
      <c r="A14" s="33">
        <v>147</v>
      </c>
      <c r="B14" s="190">
        <f>IFERROR(VLOOKUP(A14,ListaIngredientes!$A$5:$F$155,2,FALSE),"")</f>
        <v>0</v>
      </c>
      <c r="C14" s="191"/>
      <c r="D14" s="35">
        <f>IFERROR(VLOOKUP(A14,Tabela2[],3,FALSE),"")</f>
        <v>0</v>
      </c>
      <c r="E14" s="36">
        <v>8</v>
      </c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1468.8519607843139</v>
      </c>
    </row>
    <row r="173" spans="2:2" x14ac:dyDescent="0.25">
      <c r="B173" t="s">
        <v>259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9"/>
  <sheetViews>
    <sheetView workbookViewId="0">
      <selection sqref="A1:H6"/>
    </sheetView>
  </sheetViews>
  <sheetFormatPr defaultRowHeight="15" x14ac:dyDescent="0.25"/>
  <cols>
    <col min="8" max="8" width="14.710937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28.365057013574663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94.550190045248868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28.365057013574663</v>
      </c>
      <c r="D3" s="213"/>
      <c r="E3" s="202" t="s">
        <v>284</v>
      </c>
      <c r="F3" s="202"/>
      <c r="G3" s="213">
        <f>G2*C5</f>
        <v>47.275095022624434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-1.0910038009049776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368.74574117647063</v>
      </c>
      <c r="D6" s="205"/>
      <c r="E6" s="204" t="s">
        <v>283</v>
      </c>
      <c r="F6" s="204"/>
      <c r="G6" s="213">
        <f>G5*G4</f>
        <v>-16.365057013574663</v>
      </c>
      <c r="H6" s="216"/>
    </row>
    <row r="7" spans="1:8" ht="17.25" thickTop="1" thickBot="1" x14ac:dyDescent="0.3">
      <c r="A7" s="89" t="s">
        <v>5</v>
      </c>
      <c r="B7" s="195" t="s">
        <v>9</v>
      </c>
      <c r="C7" s="196"/>
      <c r="D7" s="8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4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200</v>
      </c>
      <c r="F9" s="192">
        <f>IFERROR(VLOOKUP(A9,ListaIngredientes!$A$5:$F$155,6,FALSE),"")</f>
        <v>1.59</v>
      </c>
      <c r="G9" s="192"/>
      <c r="H9" s="34">
        <f t="shared" ref="H9:H28" si="0">IFERROR(E9*F9,"")</f>
        <v>318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85</v>
      </c>
      <c r="F10" s="192">
        <f>IFERROR(VLOOKUP(A10,ListaIngredientes!$A$5:$F$155,6,FALSE),"")</f>
        <v>0.14899999999999999</v>
      </c>
      <c r="G10" s="192"/>
      <c r="H10" s="34">
        <f t="shared" si="0"/>
        <v>12.664999999999999</v>
      </c>
    </row>
    <row r="11" spans="1:8" ht="20.25" thickTop="1" thickBot="1" x14ac:dyDescent="0.35">
      <c r="A11" s="33">
        <v>182</v>
      </c>
      <c r="B11" s="190" t="str">
        <f>IFERROR(VLOOKUP(A11,ListaIngredientes!$A$5:$F$155,2,FALSE),"")</f>
        <v>GERGILIM</v>
      </c>
      <c r="C11" s="191"/>
      <c r="D11" s="35" t="str">
        <f>IFERROR(VLOOKUP(A11,Tabela2[],3,FALSE),"")</f>
        <v>KG</v>
      </c>
      <c r="E11" s="36">
        <v>1</v>
      </c>
      <c r="F11" s="192">
        <f>IFERROR(VLOOKUP(A11,ListaIngredientes!$A$5:$F$155,6,FALSE),"")</f>
        <v>2.9000000000000001E-2</v>
      </c>
      <c r="G11" s="192"/>
      <c r="H11" s="34">
        <f t="shared" si="0"/>
        <v>2.9000000000000001E-2</v>
      </c>
    </row>
    <row r="12" spans="1:8" ht="20.25" thickTop="1" thickBot="1" x14ac:dyDescent="0.35">
      <c r="A12" s="33">
        <v>110</v>
      </c>
      <c r="B12" s="190" t="str">
        <f>IFERROR(VLOOKUP(A12,ListaIngredientes!$A$5:$F$155,2,FALSE),"")</f>
        <v>CASTANHA DE CAJU</v>
      </c>
      <c r="C12" s="191"/>
      <c r="D12" s="35" t="str">
        <f>IFERROR(VLOOKUP(A12,Tabela2[],3,FALSE),"")</f>
        <v>KG</v>
      </c>
      <c r="E12" s="36">
        <v>50</v>
      </c>
      <c r="F12" s="192">
        <f>IFERROR(VLOOKUP(A12,ListaIngredientes!$A$5:$F$155,6,FALSE),"")</f>
        <v>3.5000000000000003E-2</v>
      </c>
      <c r="G12" s="192"/>
      <c r="H12" s="34">
        <f t="shared" si="0"/>
        <v>1.7500000000000002</v>
      </c>
    </row>
    <row r="13" spans="1:8" ht="20.25" thickTop="1" thickBot="1" x14ac:dyDescent="0.35">
      <c r="A13" s="33">
        <v>111</v>
      </c>
      <c r="B13" s="190" t="str">
        <f>IFERROR(VLOOKUP(A13,ListaIngredientes!$A$5:$F$155,2,FALSE),"")</f>
        <v>azeite</v>
      </c>
      <c r="C13" s="191"/>
      <c r="D13" s="35" t="str">
        <f>IFERROR(VLOOKUP(A13,Tabela2[],3,FALSE),"")</f>
        <v>ml</v>
      </c>
      <c r="E13" s="36">
        <v>50</v>
      </c>
      <c r="F13" s="192">
        <f>IFERROR(VLOOKUP(A13,ListaIngredientes!$A$5:$F$155,6,FALSE),"")</f>
        <v>4.5999999999999999E-2</v>
      </c>
      <c r="G13" s="192"/>
      <c r="H13" s="34">
        <f t="shared" si="0"/>
        <v>2.2999999999999998</v>
      </c>
    </row>
    <row r="14" spans="1:8" ht="20.25" thickTop="1" thickBot="1" x14ac:dyDescent="0.35">
      <c r="A14" s="33">
        <v>112</v>
      </c>
      <c r="B14" s="190" t="str">
        <f>IFERROR(VLOOKUP(A14,ListaIngredientes!$A$5:$F$155,2,FALSE),"")</f>
        <v>farinha de arroz</v>
      </c>
      <c r="C14" s="191"/>
      <c r="D14" s="35" t="str">
        <f>IFERROR(VLOOKUP(A14,Tabela2[],3,FALSE),"")</f>
        <v>kg</v>
      </c>
      <c r="E14" s="36">
        <v>50</v>
      </c>
      <c r="F14" s="192">
        <f>IFERROR(VLOOKUP(A14,ListaIngredientes!$A$5:$F$155,6,FALSE),"")</f>
        <v>1.2E-2</v>
      </c>
      <c r="G14" s="192"/>
      <c r="H14" s="34">
        <f t="shared" si="0"/>
        <v>0.6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tr">
        <f>IFERROR(VLOOKUP(A15,Tabela2[],3,FALSE),"")</f>
        <v>kg</v>
      </c>
      <c r="E15" s="36">
        <v>15</v>
      </c>
      <c r="F15" s="192">
        <f>IFERROR(VLOOKUP(A15,ListaIngredientes!$A$5:$F$155,6,FALSE),"")</f>
        <v>5.5119999999999995E-2</v>
      </c>
      <c r="G15" s="192"/>
      <c r="H15" s="34">
        <f t="shared" si="0"/>
        <v>0.82679999999999998</v>
      </c>
    </row>
    <row r="16" spans="1:8" ht="20.25" thickTop="1" thickBot="1" x14ac:dyDescent="0.35">
      <c r="A16" s="33">
        <v>230</v>
      </c>
      <c r="B16" s="190">
        <f>IFERROR(VLOOKUP(A16,ListaIngredientes!$A$5:$F$155,2,FALSE),"")</f>
        <v>0</v>
      </c>
      <c r="C16" s="191"/>
      <c r="D16" s="35" t="str">
        <f>IFERROR(VLOOKUP(A16,Tabela2[],3,FALSE),"")</f>
        <v>u</v>
      </c>
      <c r="E16" s="36">
        <v>70</v>
      </c>
      <c r="F16" s="192">
        <f>IFERROR(VLOOKUP(A16,ListaIngredientes!$A$5:$F$155,6,FALSE),"")</f>
        <v>0.14899999999999999</v>
      </c>
      <c r="G16" s="192"/>
      <c r="H16" s="34">
        <f t="shared" si="0"/>
        <v>10.43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600</v>
      </c>
      <c r="F17" s="192">
        <f>IFERROR(VLOOKUP(A17,ListaIngredientes!$A$5:$F$155,6,FALSE),"")</f>
        <v>5.8823529411764701E-4</v>
      </c>
      <c r="G17" s="192"/>
      <c r="H17" s="34">
        <f t="shared" si="0"/>
        <v>0.3529411764705882</v>
      </c>
    </row>
    <row r="18" spans="1:8" ht="20.25" thickTop="1" thickBot="1" x14ac:dyDescent="0.35">
      <c r="A18" s="33">
        <v>105</v>
      </c>
      <c r="B18" s="190" t="str">
        <f>IFERROR(VLOOKUP(A18,ListaIngredientes!$A$5:$F$155,2,FALSE),"")</f>
        <v>Bananas</v>
      </c>
      <c r="C18" s="191"/>
      <c r="D18" s="35" t="str">
        <f>IFERROR(VLOOKUP(A18,Tabela2[],3,FALSE),"")</f>
        <v>duzias</v>
      </c>
      <c r="E18" s="36">
        <v>30</v>
      </c>
      <c r="F18" s="192">
        <f>IFERROR(VLOOKUP(A18,ListaIngredientes!$A$5:$F$155,6,FALSE),"")</f>
        <v>0.5</v>
      </c>
      <c r="G18" s="192"/>
      <c r="H18" s="34">
        <f t="shared" si="0"/>
        <v>15</v>
      </c>
    </row>
    <row r="19" spans="1:8" ht="20.25" thickTop="1" thickBot="1" x14ac:dyDescent="0.35">
      <c r="A19" s="33">
        <v>125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40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>
        <v>134</v>
      </c>
      <c r="B20" s="190" t="str">
        <f>IFERROR(VLOOKUP(A20,ListaIngredientes!$A$5:$F$155,2,FALSE),"")</f>
        <v>copo bolha</v>
      </c>
      <c r="C20" s="191"/>
      <c r="D20" s="35" t="str">
        <f>IFERROR(VLOOKUP(A20,Tabela2[],3,FALSE),"")</f>
        <v>u</v>
      </c>
      <c r="E20" s="36">
        <v>8</v>
      </c>
      <c r="F20" s="192">
        <f>IFERROR(VLOOKUP(A20,ListaIngredientes!$A$5:$F$155,6,FALSE),"")</f>
        <v>0.84899999999999998</v>
      </c>
      <c r="G20" s="192"/>
      <c r="H20" s="34">
        <f t="shared" si="0"/>
        <v>6.7919999999999998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368.74574117647063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9"/>
  <sheetViews>
    <sheetView workbookViewId="0">
      <selection sqref="A1:H6"/>
    </sheetView>
  </sheetViews>
  <sheetFormatPr defaultRowHeight="15" x14ac:dyDescent="0.25"/>
  <cols>
    <col min="8" max="8" width="17.140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10.591749999999999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35.305833333333325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10.591749999999999</v>
      </c>
      <c r="D3" s="213"/>
      <c r="E3" s="202" t="s">
        <v>284</v>
      </c>
      <c r="F3" s="202"/>
      <c r="G3" s="213">
        <f>G2*C5</f>
        <v>17.652916666666663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9.3883333333333374E-2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137.69274999999999</v>
      </c>
      <c r="D6" s="205"/>
      <c r="E6" s="204" t="s">
        <v>283</v>
      </c>
      <c r="F6" s="204"/>
      <c r="G6" s="213">
        <f>G5*G4</f>
        <v>1.4082500000000007</v>
      </c>
      <c r="H6" s="216"/>
    </row>
    <row r="7" spans="1:8" ht="17.25" thickTop="1" thickBot="1" x14ac:dyDescent="0.3">
      <c r="A7" s="104" t="s">
        <v>5</v>
      </c>
      <c r="B7" s="195" t="s">
        <v>9</v>
      </c>
      <c r="C7" s="196"/>
      <c r="D7" s="104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3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140</v>
      </c>
      <c r="B9" s="190" t="str">
        <f>IFERROR(VLOOKUP(A9,ListaIngredientes!$A$5:$F$155,2,FALSE),"")</f>
        <v>creme de leite italac 17%</v>
      </c>
      <c r="C9" s="191"/>
      <c r="D9" s="35" t="str">
        <f>IFERROR(VLOOKUP(A9,Tabela2[],3,FALSE),"")</f>
        <v>kg</v>
      </c>
      <c r="E9" s="36">
        <v>1</v>
      </c>
      <c r="F9" s="192">
        <f>IFERROR(VLOOKUP(A9,ListaIngredientes!$A$5:$F$155,6,FALSE),"")</f>
        <v>1.695E-2</v>
      </c>
      <c r="G9" s="192"/>
      <c r="H9" s="34">
        <f t="shared" ref="H9:H28" si="0">IFERROR(E9*F9,"")</f>
        <v>1.695E-2</v>
      </c>
    </row>
    <row r="10" spans="1:8" ht="20.25" thickTop="1" thickBot="1" x14ac:dyDescent="0.35">
      <c r="A10" s="33">
        <v>108</v>
      </c>
      <c r="B10" s="190" t="str">
        <f>IFERROR(VLOOKUP(A10,ListaIngredientes!$A$5:$F$155,2,FALSE),"")</f>
        <v>CANELA</v>
      </c>
      <c r="C10" s="191"/>
      <c r="D10" s="35" t="str">
        <f>IFERROR(VLOOKUP(A10,Tabela2[],3,FALSE),"")</f>
        <v>KG</v>
      </c>
      <c r="E10" s="36">
        <v>20</v>
      </c>
      <c r="F10" s="192">
        <f>IFERROR(VLOOKUP(A10,ListaIngredientes!$A$5:$F$155,6,FALSE),"")</f>
        <v>5.5E-2</v>
      </c>
      <c r="G10" s="192"/>
      <c r="H10" s="34">
        <f t="shared" si="0"/>
        <v>1.1000000000000001</v>
      </c>
    </row>
    <row r="11" spans="1:8" ht="20.25" thickTop="1" thickBot="1" x14ac:dyDescent="0.35">
      <c r="A11" s="33">
        <v>182</v>
      </c>
      <c r="B11" s="190" t="str">
        <f>IFERROR(VLOOKUP(A11,ListaIngredientes!$A$5:$F$155,2,FALSE),"")</f>
        <v>GERGILIM</v>
      </c>
      <c r="C11" s="191"/>
      <c r="D11" s="35" t="str">
        <f>IFERROR(VLOOKUP(A11,Tabela2[],3,FALSE),"")</f>
        <v>KG</v>
      </c>
      <c r="E11" s="36">
        <v>1</v>
      </c>
      <c r="F11" s="192">
        <f>IFERROR(VLOOKUP(A11,ListaIngredientes!$A$5:$F$155,6,FALSE),"")</f>
        <v>2.9000000000000001E-2</v>
      </c>
      <c r="G11" s="192"/>
      <c r="H11" s="34">
        <f t="shared" si="0"/>
        <v>2.9000000000000001E-2</v>
      </c>
    </row>
    <row r="12" spans="1:8" ht="20.25" thickTop="1" thickBot="1" x14ac:dyDescent="0.35">
      <c r="A12" s="33">
        <v>110</v>
      </c>
      <c r="B12" s="190" t="str">
        <f>IFERROR(VLOOKUP(A12,ListaIngredientes!$A$5:$F$155,2,FALSE),"")</f>
        <v>CASTANHA DE CAJU</v>
      </c>
      <c r="C12" s="191"/>
      <c r="D12" s="35" t="str">
        <f>IFERROR(VLOOKUP(A12,Tabela2[],3,FALSE),"")</f>
        <v>KG</v>
      </c>
      <c r="E12" s="36">
        <v>50</v>
      </c>
      <c r="F12" s="192">
        <f>IFERROR(VLOOKUP(A12,ListaIngredientes!$A$5:$F$155,6,FALSE),"")</f>
        <v>3.5000000000000003E-2</v>
      </c>
      <c r="G12" s="192"/>
      <c r="H12" s="34">
        <f t="shared" si="0"/>
        <v>1.7500000000000002</v>
      </c>
    </row>
    <row r="13" spans="1:8" ht="20.25" thickTop="1" thickBot="1" x14ac:dyDescent="0.35">
      <c r="A13" s="33">
        <v>111</v>
      </c>
      <c r="B13" s="190" t="str">
        <f>IFERROR(VLOOKUP(A13,ListaIngredientes!$A$5:$F$155,2,FALSE),"")</f>
        <v>azeite</v>
      </c>
      <c r="C13" s="191"/>
      <c r="D13" s="35" t="str">
        <f>IFERROR(VLOOKUP(A13,Tabela2[],3,FALSE),"")</f>
        <v>ml</v>
      </c>
      <c r="E13" s="36">
        <v>50</v>
      </c>
      <c r="F13" s="192">
        <f>IFERROR(VLOOKUP(A13,ListaIngredientes!$A$5:$F$155,6,FALSE),"")</f>
        <v>4.5999999999999999E-2</v>
      </c>
      <c r="G13" s="192"/>
      <c r="H13" s="34">
        <f t="shared" si="0"/>
        <v>2.2999999999999998</v>
      </c>
    </row>
    <row r="14" spans="1:8" ht="20.25" thickTop="1" thickBot="1" x14ac:dyDescent="0.35">
      <c r="A14" s="33">
        <v>112</v>
      </c>
      <c r="B14" s="190" t="str">
        <f>IFERROR(VLOOKUP(A14,ListaIngredientes!$A$5:$F$155,2,FALSE),"")</f>
        <v>farinha de arroz</v>
      </c>
      <c r="C14" s="191"/>
      <c r="D14" s="35" t="str">
        <f>IFERROR(VLOOKUP(A14,Tabela2[],3,FALSE),"")</f>
        <v>kg</v>
      </c>
      <c r="E14" s="36">
        <v>50</v>
      </c>
      <c r="F14" s="192">
        <f>IFERROR(VLOOKUP(A14,ListaIngredientes!$A$5:$F$155,6,FALSE),"")</f>
        <v>1.2E-2</v>
      </c>
      <c r="G14" s="192"/>
      <c r="H14" s="34">
        <f t="shared" si="0"/>
        <v>0.6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tr">
        <f>IFERROR(VLOOKUP(A15,Tabela2[],3,FALSE),"")</f>
        <v>kg</v>
      </c>
      <c r="E15" s="36">
        <v>15</v>
      </c>
      <c r="F15" s="192">
        <f>IFERROR(VLOOKUP(A15,ListaIngredientes!$A$5:$F$155,6,FALSE),"")</f>
        <v>5.5119999999999995E-2</v>
      </c>
      <c r="G15" s="192"/>
      <c r="H15" s="34">
        <f t="shared" si="0"/>
        <v>0.82679999999999998</v>
      </c>
    </row>
    <row r="16" spans="1:8" ht="20.25" thickTop="1" thickBot="1" x14ac:dyDescent="0.35">
      <c r="A16" s="33">
        <v>121</v>
      </c>
      <c r="B16" s="190" t="str">
        <f>IFERROR(VLOOKUP(A16,ListaIngredientes!$A$5:$F$155,2,FALSE),"")</f>
        <v xml:space="preserve">embalagem marmita </v>
      </c>
      <c r="C16" s="191"/>
      <c r="D16" s="35" t="str">
        <f>IFERROR(VLOOKUP(A16,Tabela2[],3,FALSE),"")</f>
        <v>u</v>
      </c>
      <c r="E16" s="36">
        <v>3</v>
      </c>
      <c r="F16" s="192">
        <f>IFERROR(VLOOKUP(A16,ListaIngredientes!$A$5:$F$155,6,FALSE),"")</f>
        <v>0.94</v>
      </c>
      <c r="G16" s="192"/>
      <c r="H16" s="34">
        <f t="shared" si="0"/>
        <v>2.82</v>
      </c>
    </row>
    <row r="17" spans="1:8" ht="20.25" thickTop="1" thickBot="1" x14ac:dyDescent="0.35">
      <c r="A17" s="33">
        <v>244</v>
      </c>
      <c r="B17" s="190" t="str">
        <f>IFERROR(VLOOKUP(A17,ListaIngredientes!$A$5:$F$155,2,FALSE),"")</f>
        <v>trio ovo kids</v>
      </c>
      <c r="C17" s="191"/>
      <c r="D17" s="35" t="str">
        <f>IFERROR(VLOOKUP(A17,Tabela2[],3,FALSE),"")</f>
        <v>u</v>
      </c>
      <c r="E17" s="36">
        <v>135</v>
      </c>
      <c r="F17" s="192">
        <f>IFERROR(VLOOKUP(A17,ListaIngredientes!$A$5:$F$155,6,FALSE),"")</f>
        <v>0.95</v>
      </c>
      <c r="G17" s="192"/>
      <c r="H17" s="34">
        <f t="shared" si="0"/>
        <v>128.25</v>
      </c>
    </row>
    <row r="18" spans="1:8" ht="20.25" thickTop="1" thickBot="1" x14ac:dyDescent="0.35">
      <c r="A18" s="33">
        <v>202</v>
      </c>
      <c r="B18" s="190">
        <f>IFERROR(VLOOKUP(A18,ListaIngredientes!$A$5:$F$155,2,FALSE),"")</f>
        <v>0</v>
      </c>
      <c r="C18" s="191"/>
      <c r="D18" s="35">
        <f>IFERROR(VLOOKUP(A18,Tabela2[],3,FALSE),"")</f>
        <v>0</v>
      </c>
      <c r="E18" s="36">
        <v>80</v>
      </c>
      <c r="F18" s="192">
        <f>IFERROR(VLOOKUP(A18,ListaIngredientes!$A$5:$F$155,6,FALSE),"")</f>
        <v>0</v>
      </c>
      <c r="G18" s="192"/>
      <c r="H18" s="34">
        <f t="shared" si="0"/>
        <v>0</v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137.69274999999999</v>
      </c>
    </row>
  </sheetData>
  <mergeCells count="66">
    <mergeCell ref="B26:C26"/>
    <mergeCell ref="F26:G26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A3:B3"/>
    <mergeCell ref="E1:F1"/>
    <mergeCell ref="G1:H1"/>
    <mergeCell ref="E6:F6"/>
    <mergeCell ref="G6:H6"/>
    <mergeCell ref="A2:B2"/>
    <mergeCell ref="C2:D2"/>
    <mergeCell ref="E2:F2"/>
    <mergeCell ref="G2:H2"/>
    <mergeCell ref="A5:B5"/>
    <mergeCell ref="C5:D5"/>
    <mergeCell ref="A6:B6"/>
    <mergeCell ref="C6:D6"/>
    <mergeCell ref="C1:D1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9"/>
  <sheetViews>
    <sheetView workbookViewId="0">
      <selection sqref="A1:H6"/>
    </sheetView>
  </sheetViews>
  <sheetFormatPr defaultRowHeight="15" x14ac:dyDescent="0.25"/>
  <cols>
    <col min="3" max="3" width="14.85546875" customWidth="1"/>
    <col min="4" max="4" width="11.7109375" customWidth="1"/>
    <col min="8" max="8" width="14.8554687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13.574933393665161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45.249777978883863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13.574933393665161</v>
      </c>
      <c r="D3" s="213"/>
      <c r="E3" s="202" t="s">
        <v>284</v>
      </c>
      <c r="F3" s="202"/>
      <c r="G3" s="213">
        <f>G2*C5</f>
        <v>22.624888989441931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-0.10499555957767742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176.47413411764708</v>
      </c>
      <c r="D6" s="205"/>
      <c r="E6" s="204" t="s">
        <v>283</v>
      </c>
      <c r="F6" s="204"/>
      <c r="G6" s="213">
        <f>G5*G4</f>
        <v>-1.5749333936651613</v>
      </c>
      <c r="H6" s="216"/>
    </row>
    <row r="7" spans="1:8" ht="17.25" thickTop="1" thickBot="1" x14ac:dyDescent="0.3">
      <c r="A7" s="90" t="s">
        <v>5</v>
      </c>
      <c r="B7" s="195" t="s">
        <v>9</v>
      </c>
      <c r="C7" s="196"/>
      <c r="D7" s="9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2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100</v>
      </c>
      <c r="F9" s="192">
        <f>IFERROR(VLOOKUP(A9,ListaIngredientes!$A$5:$F$155,6,FALSE),"")</f>
        <v>1.59</v>
      </c>
      <c r="G9" s="192"/>
      <c r="H9" s="34">
        <f t="shared" ref="H9:H28" si="0">IFERROR(E9*F9,"")</f>
        <v>159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45</v>
      </c>
      <c r="F10" s="192">
        <f>IFERROR(VLOOKUP(A10,ListaIngredientes!$A$5:$F$155,6,FALSE),"")</f>
        <v>0.14899999999999999</v>
      </c>
      <c r="G10" s="192"/>
      <c r="H10" s="34">
        <f t="shared" si="0"/>
        <v>6.7050000000000001</v>
      </c>
    </row>
    <row r="11" spans="1:8" ht="20.25" thickTop="1" thickBot="1" x14ac:dyDescent="0.35">
      <c r="A11" s="33">
        <v>182</v>
      </c>
      <c r="B11" s="190" t="str">
        <f>IFERROR(VLOOKUP(A11,ListaIngredientes!$A$5:$F$155,2,FALSE),"")</f>
        <v>GERGILIM</v>
      </c>
      <c r="C11" s="191"/>
      <c r="D11" s="35" t="str">
        <f>IFERROR(VLOOKUP(A11,Tabela2[],3,FALSE),"")</f>
        <v>KG</v>
      </c>
      <c r="E11" s="36">
        <v>1</v>
      </c>
      <c r="F11" s="192">
        <f>IFERROR(VLOOKUP(A11,ListaIngredientes!$A$5:$F$155,6,FALSE),"")</f>
        <v>2.9000000000000001E-2</v>
      </c>
      <c r="G11" s="192"/>
      <c r="H11" s="34">
        <f t="shared" si="0"/>
        <v>2.9000000000000001E-2</v>
      </c>
    </row>
    <row r="12" spans="1:8" ht="20.25" thickTop="1" thickBot="1" x14ac:dyDescent="0.35">
      <c r="A12" s="33">
        <v>110</v>
      </c>
      <c r="B12" s="190" t="str">
        <f>IFERROR(VLOOKUP(A12,ListaIngredientes!$A$5:$F$155,2,FALSE),"")</f>
        <v>CASTANHA DE CAJU</v>
      </c>
      <c r="C12" s="191"/>
      <c r="D12" s="35" t="str">
        <f>IFERROR(VLOOKUP(A12,Tabela2[],3,FALSE),"")</f>
        <v>KG</v>
      </c>
      <c r="E12" s="36">
        <v>25</v>
      </c>
      <c r="F12" s="192">
        <f>IFERROR(VLOOKUP(A12,ListaIngredientes!$A$5:$F$155,6,FALSE),"")</f>
        <v>3.5000000000000003E-2</v>
      </c>
      <c r="G12" s="192"/>
      <c r="H12" s="34">
        <f t="shared" si="0"/>
        <v>0.87500000000000011</v>
      </c>
    </row>
    <row r="13" spans="1:8" ht="20.25" thickTop="1" thickBot="1" x14ac:dyDescent="0.35">
      <c r="A13" s="33">
        <v>111</v>
      </c>
      <c r="B13" s="190" t="str">
        <f>IFERROR(VLOOKUP(A13,ListaIngredientes!$A$5:$F$155,2,FALSE),"")</f>
        <v>azeite</v>
      </c>
      <c r="C13" s="191"/>
      <c r="D13" s="35" t="str">
        <f>IFERROR(VLOOKUP(A13,Tabela2[],3,FALSE),"")</f>
        <v>ml</v>
      </c>
      <c r="E13" s="36">
        <v>25</v>
      </c>
      <c r="F13" s="192">
        <f>IFERROR(VLOOKUP(A13,ListaIngredientes!$A$5:$F$155,6,FALSE),"")</f>
        <v>4.5999999999999999E-2</v>
      </c>
      <c r="G13" s="192"/>
      <c r="H13" s="34">
        <f t="shared" si="0"/>
        <v>1.1499999999999999</v>
      </c>
    </row>
    <row r="14" spans="1:8" ht="20.25" thickTop="1" thickBot="1" x14ac:dyDescent="0.35">
      <c r="A14" s="33">
        <v>112</v>
      </c>
      <c r="B14" s="190" t="str">
        <f>IFERROR(VLOOKUP(A14,ListaIngredientes!$A$5:$F$155,2,FALSE),"")</f>
        <v>farinha de arroz</v>
      </c>
      <c r="C14" s="191"/>
      <c r="D14" s="35" t="str">
        <f>IFERROR(VLOOKUP(A14,Tabela2[],3,FALSE),"")</f>
        <v>kg</v>
      </c>
      <c r="E14" s="36">
        <v>25</v>
      </c>
      <c r="F14" s="192">
        <f>IFERROR(VLOOKUP(A14,ListaIngredientes!$A$5:$F$155,6,FALSE),"")</f>
        <v>1.2E-2</v>
      </c>
      <c r="G14" s="192"/>
      <c r="H14" s="34">
        <f t="shared" si="0"/>
        <v>0.3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tr">
        <f>IFERROR(VLOOKUP(A15,Tabela2[],3,FALSE),"")</f>
        <v>kg</v>
      </c>
      <c r="E15" s="36">
        <v>7</v>
      </c>
      <c r="F15" s="192">
        <f>IFERROR(VLOOKUP(A15,ListaIngredientes!$A$5:$F$155,6,FALSE),"")</f>
        <v>5.5119999999999995E-2</v>
      </c>
      <c r="G15" s="192"/>
      <c r="H15" s="34">
        <f t="shared" si="0"/>
        <v>0.38583999999999996</v>
      </c>
    </row>
    <row r="16" spans="1:8" ht="20.25" thickTop="1" thickBot="1" x14ac:dyDescent="0.35">
      <c r="A16" s="33">
        <v>230</v>
      </c>
      <c r="B16" s="190">
        <f>IFERROR(VLOOKUP(A16,ListaIngredientes!$A$5:$F$155,2,FALSE),"")</f>
        <v>0</v>
      </c>
      <c r="C16" s="191"/>
      <c r="D16" s="35" t="str">
        <f>IFERROR(VLOOKUP(A16,Tabela2[],3,FALSE),"")</f>
        <v>u</v>
      </c>
      <c r="E16" s="36">
        <v>50</v>
      </c>
      <c r="F16" s="192">
        <f>IFERROR(VLOOKUP(A16,ListaIngredientes!$A$5:$F$155,6,FALSE),"")</f>
        <v>0.14899999999999999</v>
      </c>
      <c r="G16" s="192"/>
      <c r="H16" s="34">
        <f t="shared" si="0"/>
        <v>7.4499999999999993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400</v>
      </c>
      <c r="F17" s="192">
        <f>IFERROR(VLOOKUP(A17,ListaIngredientes!$A$5:$F$155,6,FALSE),"")</f>
        <v>5.8823529411764701E-4</v>
      </c>
      <c r="G17" s="192"/>
      <c r="H17" s="34">
        <f t="shared" si="0"/>
        <v>0.23529411764705879</v>
      </c>
    </row>
    <row r="18" spans="1:8" ht="20.25" thickTop="1" thickBot="1" x14ac:dyDescent="0.35">
      <c r="A18" s="33">
        <v>124</v>
      </c>
      <c r="B18" s="190" t="str">
        <f>IFERROR(VLOOKUP(A18,ListaIngredientes!$A$5:$F$155,2,FALSE),"")</f>
        <v>BACON</v>
      </c>
      <c r="C18" s="191"/>
      <c r="D18" s="35" t="str">
        <f>IFERROR(VLOOKUP(A18,Tabela2[],3,FALSE),"")</f>
        <v>KG</v>
      </c>
      <c r="E18" s="36">
        <v>10</v>
      </c>
      <c r="F18" s="192">
        <f>IFERROR(VLOOKUP(A18,ListaIngredientes!$A$5:$F$155,6,FALSE),"")</f>
        <v>3.1899999999999998E-2</v>
      </c>
      <c r="G18" s="192"/>
      <c r="H18" s="34">
        <f t="shared" si="0"/>
        <v>0.31899999999999995</v>
      </c>
    </row>
    <row r="19" spans="1:8" ht="20.25" thickTop="1" thickBot="1" x14ac:dyDescent="0.35">
      <c r="A19" s="33">
        <v>165</v>
      </c>
      <c r="B19" s="190" t="str">
        <f>IFERROR(VLOOKUP(A19,ListaIngredientes!$A$5:$F$155,2,FALSE),"")</f>
        <v>fermento químico</v>
      </c>
      <c r="C19" s="191"/>
      <c r="D19" s="35" t="str">
        <f>IFERROR(VLOOKUP(A19,Tabela2[],3,FALSE),"")</f>
        <v>kg</v>
      </c>
      <c r="E19" s="36">
        <v>1</v>
      </c>
      <c r="F19" s="192">
        <f>IFERROR(VLOOKUP(A19,ListaIngredientes!$A$5:$F$155,6,FALSE),"")</f>
        <v>2.5000000000000001E-2</v>
      </c>
      <c r="G19" s="192"/>
      <c r="H19" s="34">
        <f t="shared" si="0"/>
        <v>2.5000000000000001E-2</v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176.47413411764708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9"/>
  <sheetViews>
    <sheetView workbookViewId="0">
      <selection sqref="A1:H28"/>
    </sheetView>
  </sheetViews>
  <sheetFormatPr defaultRowHeight="15" x14ac:dyDescent="0.25"/>
  <cols>
    <col min="2" max="2" width="14.5703125" customWidth="1"/>
    <col min="3" max="3" width="15.42578125" customWidth="1"/>
    <col min="8" max="8" width="16.710937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16.658420573152338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55.528068577174452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16.658420573152338</v>
      </c>
      <c r="D3" s="213"/>
      <c r="E3" s="202" t="s">
        <v>284</v>
      </c>
      <c r="F3" s="202"/>
      <c r="G3" s="213">
        <f>G2*C5</f>
        <v>27.764034288587226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-0.31056137154348923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216.55946745098041</v>
      </c>
      <c r="D6" s="205"/>
      <c r="E6" s="204" t="s">
        <v>283</v>
      </c>
      <c r="F6" s="204"/>
      <c r="G6" s="213">
        <f>G5*G4</f>
        <v>-4.6584205731523385</v>
      </c>
      <c r="H6" s="216"/>
    </row>
    <row r="7" spans="1:8" ht="17.25" thickTop="1" thickBot="1" x14ac:dyDescent="0.3">
      <c r="A7" s="90" t="s">
        <v>5</v>
      </c>
      <c r="B7" s="195" t="s">
        <v>9</v>
      </c>
      <c r="C7" s="196"/>
      <c r="D7" s="90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2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188</v>
      </c>
      <c r="B9" s="190" t="str">
        <f>IFERROR(VLOOKUP(A9,ListaIngredientes!$A$5:$F$155,2,FALSE),"")</f>
        <v>LATA PALHA ITALIANA</v>
      </c>
      <c r="C9" s="191"/>
      <c r="D9" s="35" t="str">
        <f>IFERROR(VLOOKUP(A9,Tabela2[],3,FALSE),"")</f>
        <v>U</v>
      </c>
      <c r="E9" s="36">
        <v>100</v>
      </c>
      <c r="F9" s="192">
        <f>IFERROR(VLOOKUP(A9,ListaIngredientes!$A$5:$F$155,6,FALSE),"")</f>
        <v>1.59</v>
      </c>
      <c r="G9" s="192"/>
      <c r="H9" s="34">
        <f t="shared" ref="H9:H28" si="0">IFERROR(E9*F9,"")</f>
        <v>159</v>
      </c>
    </row>
    <row r="10" spans="1:8" ht="20.25" thickTop="1" thickBot="1" x14ac:dyDescent="0.35">
      <c r="A10" s="33">
        <v>230</v>
      </c>
      <c r="B10" s="190">
        <f>IFERROR(VLOOKUP(A10,ListaIngredientes!$A$5:$F$155,2,FALSE),"")</f>
        <v>0</v>
      </c>
      <c r="C10" s="191"/>
      <c r="D10" s="35" t="str">
        <f>IFERROR(VLOOKUP(A10,Tabela2[],3,FALSE),"")</f>
        <v>u</v>
      </c>
      <c r="E10" s="36">
        <v>45</v>
      </c>
      <c r="F10" s="192">
        <f>IFERROR(VLOOKUP(A10,ListaIngredientes!$A$5:$F$155,6,FALSE),"")</f>
        <v>0.14899999999999999</v>
      </c>
      <c r="G10" s="192"/>
      <c r="H10" s="34">
        <f t="shared" si="0"/>
        <v>6.7050000000000001</v>
      </c>
    </row>
    <row r="11" spans="1:8" ht="20.25" thickTop="1" thickBot="1" x14ac:dyDescent="0.35">
      <c r="A11" s="33">
        <v>182</v>
      </c>
      <c r="B11" s="190" t="str">
        <f>IFERROR(VLOOKUP(A11,ListaIngredientes!$A$5:$F$155,2,FALSE),"")</f>
        <v>GERGILIM</v>
      </c>
      <c r="C11" s="191"/>
      <c r="D11" s="35" t="str">
        <f>IFERROR(VLOOKUP(A11,Tabela2[],3,FALSE),"")</f>
        <v>KG</v>
      </c>
      <c r="E11" s="36">
        <v>1</v>
      </c>
      <c r="F11" s="192">
        <f>IFERROR(VLOOKUP(A11,ListaIngredientes!$A$5:$F$155,6,FALSE),"")</f>
        <v>2.9000000000000001E-2</v>
      </c>
      <c r="G11" s="192"/>
      <c r="H11" s="34">
        <f t="shared" si="0"/>
        <v>2.9000000000000001E-2</v>
      </c>
    </row>
    <row r="12" spans="1:8" ht="20.25" thickTop="1" thickBot="1" x14ac:dyDescent="0.35">
      <c r="A12" s="33">
        <v>156</v>
      </c>
      <c r="B12" s="190" t="str">
        <f>IFERROR(VLOOKUP(A12,ListaIngredientes!$A$5:$F$155,2,FALSE),"")</f>
        <v>embalagem quiche</v>
      </c>
      <c r="C12" s="191"/>
      <c r="D12" s="35" t="str">
        <f>IFERROR(VLOOKUP(A12,Tabela2[],3,FALSE),"")</f>
        <v>u</v>
      </c>
      <c r="E12" s="36">
        <v>4</v>
      </c>
      <c r="F12" s="192">
        <f>IFERROR(VLOOKUP(A12,ListaIngredientes!$A$5:$F$155,6,FALSE),"")</f>
        <v>0.59899999999999998</v>
      </c>
      <c r="G12" s="192"/>
      <c r="H12" s="34">
        <f t="shared" si="0"/>
        <v>2.3959999999999999</v>
      </c>
    </row>
    <row r="13" spans="1:8" ht="20.25" thickTop="1" thickBot="1" x14ac:dyDescent="0.35">
      <c r="A13" s="33">
        <v>158</v>
      </c>
      <c r="B13" s="190" t="str">
        <f>IFERROR(VLOOKUP(A13,ListaIngredientes!$A$5:$F$155,2,FALSE),"")</f>
        <v>ESSENCIA DE BAUNILHA</v>
      </c>
      <c r="C13" s="191"/>
      <c r="D13" s="35" t="str">
        <f>IFERROR(VLOOKUP(A13,Tabela2[],3,FALSE),"")</f>
        <v>ML</v>
      </c>
      <c r="E13" s="36">
        <v>65</v>
      </c>
      <c r="F13" s="192">
        <f>IFERROR(VLOOKUP(A13,ListaIngredientes!$A$5:$F$155,6,FALSE),"")</f>
        <v>9.9666666666666667E-2</v>
      </c>
      <c r="G13" s="192"/>
      <c r="H13" s="34">
        <f t="shared" si="0"/>
        <v>6.4783333333333335</v>
      </c>
    </row>
    <row r="14" spans="1:8" ht="20.25" thickTop="1" thickBot="1" x14ac:dyDescent="0.35">
      <c r="A14" s="33">
        <v>159</v>
      </c>
      <c r="B14" s="190" t="str">
        <f>IFERROR(VLOOKUP(A14,ListaIngredientes!$A$5:$F$155,2,FALSE),"")</f>
        <v>essencia de mel</v>
      </c>
      <c r="C14" s="191"/>
      <c r="D14" s="35" t="str">
        <f>IFERROR(VLOOKUP(A14,Tabela2[],3,FALSE),"")</f>
        <v>u</v>
      </c>
      <c r="E14" s="36">
        <v>10</v>
      </c>
      <c r="F14" s="192">
        <f>IFERROR(VLOOKUP(A14,ListaIngredientes!$A$5:$F$155,6,FALSE),"")</f>
        <v>2.59</v>
      </c>
      <c r="G14" s="192"/>
      <c r="H14" s="34">
        <f t="shared" si="0"/>
        <v>25.9</v>
      </c>
    </row>
    <row r="15" spans="1:8" ht="20.25" thickTop="1" thickBot="1" x14ac:dyDescent="0.35">
      <c r="A15" s="33">
        <v>163</v>
      </c>
      <c r="B15" s="190" t="str">
        <f>IFERROR(VLOOKUP(A15,ListaIngredientes!$A$5:$F$155,2,FALSE),"")</f>
        <v xml:space="preserve">fermento biologico </v>
      </c>
      <c r="C15" s="191"/>
      <c r="D15" s="35" t="str">
        <f>IFERROR(VLOOKUP(A15,Tabela2[],3,FALSE),"")</f>
        <v>kg</v>
      </c>
      <c r="E15" s="36">
        <v>7</v>
      </c>
      <c r="F15" s="192">
        <f>IFERROR(VLOOKUP(A15,ListaIngredientes!$A$5:$F$155,6,FALSE),"")</f>
        <v>5.5119999999999995E-2</v>
      </c>
      <c r="G15" s="192"/>
      <c r="H15" s="34">
        <f t="shared" si="0"/>
        <v>0.38583999999999996</v>
      </c>
    </row>
    <row r="16" spans="1:8" ht="20.25" thickTop="1" thickBot="1" x14ac:dyDescent="0.35">
      <c r="A16" s="33">
        <v>230</v>
      </c>
      <c r="B16" s="190">
        <f>IFERROR(VLOOKUP(A16,ListaIngredientes!$A$5:$F$155,2,FALSE),"")</f>
        <v>0</v>
      </c>
      <c r="C16" s="191"/>
      <c r="D16" s="35" t="str">
        <f>IFERROR(VLOOKUP(A16,Tabela2[],3,FALSE),"")</f>
        <v>u</v>
      </c>
      <c r="E16" s="36">
        <v>70</v>
      </c>
      <c r="F16" s="192">
        <f>IFERROR(VLOOKUP(A16,ListaIngredientes!$A$5:$F$155,6,FALSE),"")</f>
        <v>0.14899999999999999</v>
      </c>
      <c r="G16" s="192"/>
      <c r="H16" s="34">
        <f t="shared" si="0"/>
        <v>10.43</v>
      </c>
    </row>
    <row r="17" spans="1:8" ht="20.25" thickTop="1" thickBot="1" x14ac:dyDescent="0.35">
      <c r="A17" s="33">
        <v>139</v>
      </c>
      <c r="B17" s="190" t="str">
        <f>IFERROR(VLOOKUP(A17,ListaIngredientes!$A$5:$F$155,2,FALSE),"")</f>
        <v>cravo da india</v>
      </c>
      <c r="C17" s="191"/>
      <c r="D17" s="35" t="str">
        <f>IFERROR(VLOOKUP(A17,Tabela2[],3,FALSE),"")</f>
        <v>g</v>
      </c>
      <c r="E17" s="36">
        <v>400</v>
      </c>
      <c r="F17" s="192">
        <f>IFERROR(VLOOKUP(A17,ListaIngredientes!$A$5:$F$155,6,FALSE),"")</f>
        <v>5.8823529411764701E-4</v>
      </c>
      <c r="G17" s="192"/>
      <c r="H17" s="34">
        <f t="shared" si="0"/>
        <v>0.23529411764705879</v>
      </c>
    </row>
    <row r="18" spans="1:8" ht="20.25" thickTop="1" thickBot="1" x14ac:dyDescent="0.35">
      <c r="A18" s="33">
        <v>105</v>
      </c>
      <c r="B18" s="190" t="str">
        <f>IFERROR(VLOOKUP(A18,ListaIngredientes!$A$5:$F$155,2,FALSE),"")</f>
        <v>Bananas</v>
      </c>
      <c r="C18" s="191"/>
      <c r="D18" s="35" t="str">
        <f>IFERROR(VLOOKUP(A18,Tabela2[],3,FALSE),"")</f>
        <v>duzias</v>
      </c>
      <c r="E18" s="36">
        <v>10</v>
      </c>
      <c r="F18" s="192">
        <f>IFERROR(VLOOKUP(A18,ListaIngredientes!$A$5:$F$155,6,FALSE),"")</f>
        <v>0.5</v>
      </c>
      <c r="G18" s="192"/>
      <c r="H18" s="34">
        <f t="shared" si="0"/>
        <v>5</v>
      </c>
    </row>
    <row r="19" spans="1:8" ht="20.25" thickTop="1" thickBot="1" x14ac:dyDescent="0.35">
      <c r="A19" s="33">
        <v>125</v>
      </c>
      <c r="B19" s="190">
        <f>IFERROR(VLOOKUP(A19,ListaIngredientes!$A$5:$F$155,2,FALSE),"")</f>
        <v>0</v>
      </c>
      <c r="C19" s="191"/>
      <c r="D19" s="35">
        <f>IFERROR(VLOOKUP(A19,Tabela2[],3,FALSE),"")</f>
        <v>0</v>
      </c>
      <c r="E19" s="36">
        <v>20</v>
      </c>
      <c r="F19" s="192">
        <f>IFERROR(VLOOKUP(A19,ListaIngredientes!$A$5:$F$155,6,FALSE),"")</f>
        <v>0</v>
      </c>
      <c r="G19" s="192"/>
      <c r="H19" s="34">
        <f t="shared" si="0"/>
        <v>0</v>
      </c>
    </row>
    <row r="20" spans="1:8" ht="20.25" thickTop="1" thickBot="1" x14ac:dyDescent="0.35">
      <c r="A20" s="33">
        <v>131</v>
      </c>
      <c r="B20" s="190">
        <f>IFERROR(VLOOKUP(A20,ListaIngredientes!$A$5:$F$155,2,FALSE),"")</f>
        <v>0</v>
      </c>
      <c r="C20" s="191"/>
      <c r="D20" s="35">
        <f>IFERROR(VLOOKUP(A20,Tabela2[],3,FALSE),"")</f>
        <v>0</v>
      </c>
      <c r="E20" s="36">
        <v>1</v>
      </c>
      <c r="F20" s="192">
        <f>IFERROR(VLOOKUP(A20,ListaIngredientes!$A$5:$F$155,6,FALSE),"")</f>
        <v>0</v>
      </c>
      <c r="G20" s="192"/>
      <c r="H20" s="34">
        <f t="shared" si="0"/>
        <v>0</v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192" t="str">
        <f>IFERROR(VLOOKUP(A27,ListaIngredientes!$A$5:$F$155,6,FALSE),"")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216.55946745098041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9"/>
  <sheetViews>
    <sheetView workbookViewId="0">
      <selection sqref="A1:H28"/>
    </sheetView>
  </sheetViews>
  <sheetFormatPr defaultRowHeight="15" x14ac:dyDescent="0.25"/>
  <cols>
    <col min="2" max="2" width="16.140625" customWidth="1"/>
    <col min="8" max="8" width="12.57031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826.10620000000006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2753.6873333333333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826.10620000000006</v>
      </c>
      <c r="D3" s="213"/>
      <c r="E3" s="202" t="s">
        <v>284</v>
      </c>
      <c r="F3" s="202"/>
      <c r="G3" s="213">
        <f>G2*C5</f>
        <v>1376.8436666666666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-54.273746666666675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10739.3806</v>
      </c>
      <c r="D6" s="205"/>
      <c r="E6" s="204" t="s">
        <v>283</v>
      </c>
      <c r="F6" s="204"/>
      <c r="G6" s="213">
        <f>G5*G4</f>
        <v>-814.10620000000017</v>
      </c>
      <c r="H6" s="216"/>
    </row>
    <row r="7" spans="1:8" ht="17.25" thickTop="1" thickBot="1" x14ac:dyDescent="0.3">
      <c r="A7" s="69" t="s">
        <v>5</v>
      </c>
      <c r="B7" s="195" t="s">
        <v>9</v>
      </c>
      <c r="C7" s="196"/>
      <c r="D7" s="6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4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111</v>
      </c>
      <c r="B9" s="190" t="str">
        <f>IFERROR(VLOOKUP(A9,ListaIngredientes!$A$5:$F$155,2,FALSE),"")</f>
        <v>azeite</v>
      </c>
      <c r="C9" s="191"/>
      <c r="D9" s="35" t="str">
        <f>IFERROR(VLOOKUP(A9,Tabela2[],3,FALSE),"")</f>
        <v>ml</v>
      </c>
      <c r="E9" s="36">
        <v>112</v>
      </c>
      <c r="F9" s="192">
        <f>IFERROR(VLOOKUP(A9,ListaIngredientes!$A$5:$F$155,6,FALSE),"")</f>
        <v>4.5999999999999999E-2</v>
      </c>
      <c r="G9" s="192"/>
      <c r="H9" s="34">
        <f t="shared" ref="H9:H28" si="0">IFERROR(E9*F9,"")</f>
        <v>5.1520000000000001</v>
      </c>
    </row>
    <row r="10" spans="1:8" ht="20.25" thickTop="1" thickBot="1" x14ac:dyDescent="0.35">
      <c r="A10" s="33">
        <v>184</v>
      </c>
      <c r="B10" s="190" t="str">
        <f>IFERROR(VLOOKUP(A10,ListaIngredientes!$A$5:$F$155,2,FALSE),"")</f>
        <v>goma xantana</v>
      </c>
      <c r="C10" s="191"/>
      <c r="D10" s="35" t="str">
        <f>IFERROR(VLOOKUP(A10,Tabela2[],3,FALSE),"")</f>
        <v>kg</v>
      </c>
      <c r="E10" s="36">
        <v>1</v>
      </c>
      <c r="F10" s="192">
        <f>IFERROR(VLOOKUP(A10,ListaIngredientes!$A$5:$F$155,6,FALSE),"")</f>
        <v>5.5E-2</v>
      </c>
      <c r="G10" s="192"/>
      <c r="H10" s="34">
        <f t="shared" si="0"/>
        <v>5.5E-2</v>
      </c>
    </row>
    <row r="11" spans="1:8" ht="20.25" thickTop="1" thickBot="1" x14ac:dyDescent="0.35">
      <c r="A11" s="33">
        <v>162</v>
      </c>
      <c r="B11" s="190" t="str">
        <f>IFERROR(VLOOKUP(A11,ListaIngredientes!$A$5:$F$155,2,FALSE),"")</f>
        <v>farinha de linhaça dourada</v>
      </c>
      <c r="C11" s="191"/>
      <c r="D11" s="35" t="str">
        <f>IFERROR(VLOOKUP(A11,Tabela2[],3,FALSE),"")</f>
        <v>kg</v>
      </c>
      <c r="E11" s="36">
        <v>640</v>
      </c>
      <c r="F11" s="192">
        <f>IFERROR(VLOOKUP(A11,ListaIngredientes!$A$5:$F$155,6,FALSE),"")</f>
        <v>2.4989999999999998E-2</v>
      </c>
      <c r="G11" s="192"/>
      <c r="H11" s="34">
        <f t="shared" si="0"/>
        <v>15.993599999999999</v>
      </c>
    </row>
    <row r="12" spans="1:8" ht="20.25" thickTop="1" thickBot="1" x14ac:dyDescent="0.35">
      <c r="A12" s="33">
        <v>116</v>
      </c>
      <c r="B12" s="190" t="str">
        <f>IFERROR(VLOOKUP(A12,ListaIngredientes!$A$5:$F$155,2,FALSE),"")</f>
        <v>CARNE SECA</v>
      </c>
      <c r="C12" s="191"/>
      <c r="D12" s="35" t="str">
        <f>IFERROR(VLOOKUP(A12,Tabela2[],3,FALSE),"")</f>
        <v>KG</v>
      </c>
      <c r="E12" s="36">
        <v>120</v>
      </c>
      <c r="F12" s="192">
        <f>IFERROR(VLOOKUP(A12,ListaIngredientes!$A$5:$F$155,6,FALSE),"")</f>
        <v>2.7E-2</v>
      </c>
      <c r="G12" s="192"/>
      <c r="H12" s="34">
        <f t="shared" si="0"/>
        <v>3.2399999999999998</v>
      </c>
    </row>
    <row r="13" spans="1:8" ht="20.25" thickTop="1" thickBot="1" x14ac:dyDescent="0.35">
      <c r="A13" s="33">
        <v>241</v>
      </c>
      <c r="B13" s="190" t="str">
        <f>IFERROR(VLOOKUP(A13,ListaIngredientes!$A$5:$F$155,2,FALSE),"")</f>
        <v>tampa transparente</v>
      </c>
      <c r="C13" s="191"/>
      <c r="D13" s="35" t="str">
        <f>IFERROR(VLOOKUP(A13,Tabela2[],3,FALSE),"")</f>
        <v>u</v>
      </c>
      <c r="E13" s="36">
        <v>1000</v>
      </c>
      <c r="F13" s="192">
        <f>IFERROR(VLOOKUP(A13,ListaIngredientes!$A$5:$F$155,6,FALSE),"")</f>
        <v>10.7</v>
      </c>
      <c r="G13" s="192"/>
      <c r="H13" s="34">
        <f t="shared" si="0"/>
        <v>10700</v>
      </c>
    </row>
    <row r="14" spans="1:8" ht="20.25" thickTop="1" thickBot="1" x14ac:dyDescent="0.35">
      <c r="A14" s="33">
        <v>119</v>
      </c>
      <c r="B14" s="190" t="str">
        <f>IFERROR(VLOOKUP(A14,ListaIngredientes!$A$5:$F$155,2,FALSE),"")</f>
        <v>berinjela</v>
      </c>
      <c r="C14" s="191"/>
      <c r="D14" s="35" t="str">
        <f>IFERROR(VLOOKUP(A14,Tabela2[],3,FALSE),"")</f>
        <v>u</v>
      </c>
      <c r="E14" s="36">
        <v>9</v>
      </c>
      <c r="F14" s="192">
        <f>IFERROR(VLOOKUP(A14,ListaIngredientes!$A$5:$F$155,6,FALSE),"")</f>
        <v>1.66</v>
      </c>
      <c r="G14" s="192"/>
      <c r="H14" s="34">
        <f t="shared" si="0"/>
        <v>14.94</v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10739.3806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9"/>
  <sheetViews>
    <sheetView workbookViewId="0">
      <selection sqref="A1:H28"/>
    </sheetView>
  </sheetViews>
  <sheetFormatPr defaultRowHeight="15" x14ac:dyDescent="0.25"/>
  <cols>
    <col min="8" max="8" width="13.140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850.84053846153859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2836.1351282051282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850.84053846153859</v>
      </c>
      <c r="D3" s="213"/>
      <c r="E3" s="202" t="s">
        <v>284</v>
      </c>
      <c r="F3" s="202"/>
      <c r="G3" s="213">
        <f>G2*C5</f>
        <v>1418.0675641025641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-55.922702564102572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11060.927000000001</v>
      </c>
      <c r="D6" s="205"/>
      <c r="E6" s="204" t="s">
        <v>283</v>
      </c>
      <c r="F6" s="204"/>
      <c r="G6" s="213">
        <f>G5*G4</f>
        <v>-838.84053846153859</v>
      </c>
      <c r="H6" s="216"/>
    </row>
    <row r="7" spans="1:8" ht="17.25" thickTop="1" thickBot="1" x14ac:dyDescent="0.3">
      <c r="A7" s="103" t="s">
        <v>5</v>
      </c>
      <c r="B7" s="195" t="s">
        <v>9</v>
      </c>
      <c r="C7" s="196"/>
      <c r="D7" s="103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203</v>
      </c>
      <c r="B8" s="190">
        <f>IFERROR(VLOOKUP(A8,ListaIngredientes!$A$5:$F$155,2,FALSE),"")</f>
        <v>0</v>
      </c>
      <c r="C8" s="191"/>
      <c r="D8" s="35">
        <f>IFERROR(VLOOKUP(A8,Tabela2[],3,FALSE),"")</f>
        <v>0</v>
      </c>
      <c r="E8" s="36">
        <v>4</v>
      </c>
      <c r="F8" s="192">
        <f>IFERROR(VLOOKUP(A8,ListaIngredientes!$A$5:$F$155,6,FALSE),"")</f>
        <v>0</v>
      </c>
      <c r="G8" s="192"/>
      <c r="H8" s="34">
        <f>IFERROR(E8*F8,"")</f>
        <v>0</v>
      </c>
    </row>
    <row r="9" spans="1:8" ht="20.25" thickTop="1" thickBot="1" x14ac:dyDescent="0.35">
      <c r="A9" s="33">
        <v>111</v>
      </c>
      <c r="B9" s="190" t="str">
        <f>IFERROR(VLOOKUP(A9,ListaIngredientes!$A$5:$F$155,2,FALSE),"")</f>
        <v>azeite</v>
      </c>
      <c r="C9" s="191"/>
      <c r="D9" s="35" t="str">
        <f>IFERROR(VLOOKUP(A9,Tabela2[],3,FALSE),"")</f>
        <v>ml</v>
      </c>
      <c r="E9" s="36">
        <v>112</v>
      </c>
      <c r="F9" s="192">
        <f>IFERROR(VLOOKUP(A9,ListaIngredientes!$A$5:$F$155,6,FALSE),"")</f>
        <v>4.5999999999999999E-2</v>
      </c>
      <c r="G9" s="192"/>
      <c r="H9" s="34">
        <f t="shared" ref="H9:H28" si="0">IFERROR(E9*F9,"")</f>
        <v>5.1520000000000001</v>
      </c>
    </row>
    <row r="10" spans="1:8" ht="20.25" thickTop="1" thickBot="1" x14ac:dyDescent="0.35">
      <c r="A10" s="33">
        <v>184</v>
      </c>
      <c r="B10" s="190" t="str">
        <f>IFERROR(VLOOKUP(A10,ListaIngredientes!$A$5:$F$155,2,FALSE),"")</f>
        <v>goma xantana</v>
      </c>
      <c r="C10" s="191"/>
      <c r="D10" s="35" t="str">
        <f>IFERROR(VLOOKUP(A10,Tabela2[],3,FALSE),"")</f>
        <v>kg</v>
      </c>
      <c r="E10" s="36">
        <v>1</v>
      </c>
      <c r="F10" s="192">
        <f>IFERROR(VLOOKUP(A10,ListaIngredientes!$A$5:$F$155,6,FALSE),"")</f>
        <v>5.5E-2</v>
      </c>
      <c r="G10" s="192"/>
      <c r="H10" s="34">
        <f t="shared" si="0"/>
        <v>5.5E-2</v>
      </c>
    </row>
    <row r="11" spans="1:8" ht="20.25" thickTop="1" thickBot="1" x14ac:dyDescent="0.35">
      <c r="A11" s="33">
        <v>120</v>
      </c>
      <c r="B11" s="190" t="str">
        <f>IFERROR(VLOOKUP(A11,ListaIngredientes!$A$5:$F$155,2,FALSE),"")</f>
        <v>embalagem lasanha</v>
      </c>
      <c r="C11" s="191"/>
      <c r="D11" s="35" t="str">
        <f>IFERROR(VLOOKUP(A11,Tabela2[],3,FALSE),"")</f>
        <v>u</v>
      </c>
      <c r="E11" s="36">
        <v>640</v>
      </c>
      <c r="F11" s="192">
        <f>IFERROR(VLOOKUP(A11,ListaIngredientes!$A$5:$F$155,6,FALSE),"")</f>
        <v>0.53</v>
      </c>
      <c r="G11" s="192"/>
      <c r="H11" s="34">
        <f t="shared" si="0"/>
        <v>339.20000000000005</v>
      </c>
    </row>
    <row r="12" spans="1:8" ht="20.25" thickTop="1" thickBot="1" x14ac:dyDescent="0.35">
      <c r="A12" s="33">
        <v>116</v>
      </c>
      <c r="B12" s="190" t="str">
        <f>IFERROR(VLOOKUP(A12,ListaIngredientes!$A$5:$F$155,2,FALSE),"")</f>
        <v>CARNE SECA</v>
      </c>
      <c r="C12" s="191"/>
      <c r="D12" s="35" t="str">
        <f>IFERROR(VLOOKUP(A12,Tabela2[],3,FALSE),"")</f>
        <v>KG</v>
      </c>
      <c r="E12" s="36">
        <v>120</v>
      </c>
      <c r="F12" s="192">
        <f>IFERROR(VLOOKUP(A12,ListaIngredientes!$A$5:$F$155,6,FALSE),"")</f>
        <v>2.7E-2</v>
      </c>
      <c r="G12" s="192"/>
      <c r="H12" s="34">
        <f t="shared" si="0"/>
        <v>3.2399999999999998</v>
      </c>
    </row>
    <row r="13" spans="1:8" ht="20.25" thickTop="1" thickBot="1" x14ac:dyDescent="0.35">
      <c r="A13" s="33">
        <v>241</v>
      </c>
      <c r="B13" s="190" t="str">
        <f>IFERROR(VLOOKUP(A13,ListaIngredientes!$A$5:$F$155,2,FALSE),"")</f>
        <v>tampa transparente</v>
      </c>
      <c r="C13" s="191"/>
      <c r="D13" s="35" t="str">
        <f>IFERROR(VLOOKUP(A13,Tabela2[],3,FALSE),"")</f>
        <v>u</v>
      </c>
      <c r="E13" s="36">
        <v>1000</v>
      </c>
      <c r="F13" s="192">
        <f>IFERROR(VLOOKUP(A13,ListaIngredientes!$A$5:$F$155,6,FALSE),"")</f>
        <v>10.7</v>
      </c>
      <c r="G13" s="192"/>
      <c r="H13" s="34">
        <f t="shared" si="0"/>
        <v>10700</v>
      </c>
    </row>
    <row r="14" spans="1:8" ht="20.25" thickTop="1" thickBot="1" x14ac:dyDescent="0.35">
      <c r="A14" s="33">
        <v>119</v>
      </c>
      <c r="B14" s="190" t="str">
        <f>IFERROR(VLOOKUP(A14,ListaIngredientes!$A$5:$F$155,2,FALSE),"")</f>
        <v>berinjela</v>
      </c>
      <c r="C14" s="191"/>
      <c r="D14" s="35" t="str">
        <f>IFERROR(VLOOKUP(A14,Tabela2[],3,FALSE),"")</f>
        <v>u</v>
      </c>
      <c r="E14" s="36">
        <v>8</v>
      </c>
      <c r="F14" s="192">
        <f>IFERROR(VLOOKUP(A14,ListaIngredientes!$A$5:$F$155,6,FALSE),"")</f>
        <v>1.66</v>
      </c>
      <c r="G14" s="192"/>
      <c r="H14" s="34">
        <f t="shared" si="0"/>
        <v>13.28</v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11060.927000000001</v>
      </c>
    </row>
  </sheetData>
  <mergeCells count="66">
    <mergeCell ref="B26:C26"/>
    <mergeCell ref="F26:G26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A6:B6"/>
    <mergeCell ref="C6:D6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9"/>
  <sheetViews>
    <sheetView workbookViewId="0">
      <selection sqref="A1:H28"/>
    </sheetView>
  </sheetViews>
  <sheetFormatPr defaultRowHeight="15" x14ac:dyDescent="0.25"/>
  <cols>
    <col min="8" max="8" width="13.57031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825.98399999999992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2753.2799999999993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825.98399999999992</v>
      </c>
      <c r="D3" s="213"/>
      <c r="E3" s="202" t="s">
        <v>284</v>
      </c>
      <c r="F3" s="202"/>
      <c r="G3" s="213">
        <f>G2*C5</f>
        <v>1376.6399999999996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-54.265599999999999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10737.791999999999</v>
      </c>
      <c r="D6" s="205"/>
      <c r="E6" s="204" t="s">
        <v>283</v>
      </c>
      <c r="F6" s="204"/>
      <c r="G6" s="213">
        <f>G5*G4</f>
        <v>-813.98400000000004</v>
      </c>
      <c r="H6" s="216"/>
    </row>
    <row r="7" spans="1:8" ht="17.25" thickTop="1" thickBot="1" x14ac:dyDescent="0.3">
      <c r="A7" s="103" t="s">
        <v>5</v>
      </c>
      <c r="B7" s="195" t="s">
        <v>9</v>
      </c>
      <c r="C7" s="196"/>
      <c r="D7" s="103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117</v>
      </c>
      <c r="B8" s="190" t="str">
        <f>IFERROR(VLOOKUP(A8,ListaIngredientes!$A$5:$F$155,2,FALSE),"")</f>
        <v>BANANA DA TERRA</v>
      </c>
      <c r="C8" s="191"/>
      <c r="D8" s="35" t="str">
        <f>IFERROR(VLOOKUP(A8,Tabela2[],3,FALSE),"")</f>
        <v>U</v>
      </c>
      <c r="E8" s="36">
        <v>3</v>
      </c>
      <c r="F8" s="192">
        <f>IFERROR(VLOOKUP(A8,ListaIngredientes!$A$5:$F$155,6,FALSE),"")</f>
        <v>1</v>
      </c>
      <c r="G8" s="192"/>
      <c r="H8" s="34">
        <f>IFERROR(E8*F8,"")</f>
        <v>3</v>
      </c>
    </row>
    <row r="9" spans="1:8" ht="20.25" thickTop="1" thickBot="1" x14ac:dyDescent="0.35">
      <c r="A9" s="33">
        <v>109</v>
      </c>
      <c r="B9" s="190" t="str">
        <f>IFERROR(VLOOKUP(A9,ListaIngredientes!$A$5:$F$155,2,FALSE),"")</f>
        <v>CASTANHA DO PARÁ</v>
      </c>
      <c r="C9" s="191"/>
      <c r="D9" s="35" t="str">
        <f>IFERROR(VLOOKUP(A9,Tabela2[],3,FALSE),"")</f>
        <v>KG</v>
      </c>
      <c r="E9" s="36">
        <v>200</v>
      </c>
      <c r="F9" s="192">
        <f>IFERROR(VLOOKUP(A9,ListaIngredientes!$A$5:$F$155,6,FALSE),"")</f>
        <v>3.5000000000000003E-2</v>
      </c>
      <c r="G9" s="192"/>
      <c r="H9" s="34">
        <f t="shared" ref="H9:H28" si="0">IFERROR(E9*F9,"")</f>
        <v>7.0000000000000009</v>
      </c>
    </row>
    <row r="10" spans="1:8" ht="20.25" thickTop="1" thickBot="1" x14ac:dyDescent="0.35">
      <c r="A10" s="33">
        <v>118</v>
      </c>
      <c r="B10" s="190" t="str">
        <f>IFERROR(VLOOKUP(A10,ListaIngredientes!$A$5:$F$155,2,FALSE),"")</f>
        <v>QUEIJO MUSSARELA 0 LACTOSE</v>
      </c>
      <c r="C10" s="191"/>
      <c r="D10" s="35" t="str">
        <f>IFERROR(VLOOKUP(A10,Tabela2[],3,FALSE),"")</f>
        <v>KG</v>
      </c>
      <c r="E10" s="36">
        <v>9</v>
      </c>
      <c r="F10" s="192">
        <f>IFERROR(VLOOKUP(A10,ListaIngredientes!$A$5:$F$155,6,FALSE),"")</f>
        <v>4.9000000000000002E-2</v>
      </c>
      <c r="G10" s="192"/>
      <c r="H10" s="34">
        <f t="shared" si="0"/>
        <v>0.441</v>
      </c>
    </row>
    <row r="11" spans="1:8" ht="20.25" thickTop="1" thickBot="1" x14ac:dyDescent="0.35">
      <c r="A11" s="33">
        <v>162</v>
      </c>
      <c r="B11" s="190" t="str">
        <f>IFERROR(VLOOKUP(A11,ListaIngredientes!$A$5:$F$155,2,FALSE),"")</f>
        <v>farinha de linhaça dourada</v>
      </c>
      <c r="C11" s="191"/>
      <c r="D11" s="35" t="str">
        <f>IFERROR(VLOOKUP(A11,Tabela2[],3,FALSE),"")</f>
        <v>kg</v>
      </c>
      <c r="E11" s="36">
        <v>900</v>
      </c>
      <c r="F11" s="192">
        <f>IFERROR(VLOOKUP(A11,ListaIngredientes!$A$5:$F$155,6,FALSE),"")</f>
        <v>2.4989999999999998E-2</v>
      </c>
      <c r="G11" s="192"/>
      <c r="H11" s="34">
        <f t="shared" si="0"/>
        <v>22.491</v>
      </c>
    </row>
    <row r="12" spans="1:8" ht="20.25" thickTop="1" thickBot="1" x14ac:dyDescent="0.35">
      <c r="A12" s="33">
        <v>116</v>
      </c>
      <c r="B12" s="190" t="str">
        <f>IFERROR(VLOOKUP(A12,ListaIngredientes!$A$5:$F$155,2,FALSE),"")</f>
        <v>CARNE SECA</v>
      </c>
      <c r="C12" s="191"/>
      <c r="D12" s="35" t="str">
        <f>IFERROR(VLOOKUP(A12,Tabela2[],3,FALSE),"")</f>
        <v>KG</v>
      </c>
      <c r="E12" s="36">
        <v>180</v>
      </c>
      <c r="F12" s="192">
        <f>IFERROR(VLOOKUP(A12,ListaIngredientes!$A$5:$F$155,6,FALSE),"")</f>
        <v>2.7E-2</v>
      </c>
      <c r="G12" s="192"/>
      <c r="H12" s="34">
        <f t="shared" si="0"/>
        <v>4.8600000000000003</v>
      </c>
    </row>
    <row r="13" spans="1:8" ht="20.25" thickTop="1" thickBot="1" x14ac:dyDescent="0.35">
      <c r="A13" s="33">
        <v>241</v>
      </c>
      <c r="B13" s="190" t="str">
        <f>IFERROR(VLOOKUP(A13,ListaIngredientes!$A$5:$F$155,2,FALSE),"")</f>
        <v>tampa transparente</v>
      </c>
      <c r="C13" s="191"/>
      <c r="D13" s="35" t="str">
        <f>IFERROR(VLOOKUP(A13,Tabela2[],3,FALSE),"")</f>
        <v>u</v>
      </c>
      <c r="E13" s="36">
        <v>1000</v>
      </c>
      <c r="F13" s="192">
        <f>IFERROR(VLOOKUP(A13,ListaIngredientes!$A$5:$F$155,6,FALSE),"")</f>
        <v>10.7</v>
      </c>
      <c r="G13" s="192"/>
      <c r="H13" s="34">
        <f t="shared" si="0"/>
        <v>10700</v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 t="str">
        <f>IFERROR(VLOOKUP(A14,Tabela2[],3,FALSE),"")</f>
        <v/>
      </c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10737.791999999999</v>
      </c>
    </row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F16:G16"/>
    <mergeCell ref="B11:C11"/>
    <mergeCell ref="F11:G11"/>
    <mergeCell ref="B12:C12"/>
    <mergeCell ref="F12:G12"/>
    <mergeCell ref="B13:C13"/>
    <mergeCell ref="F13:G13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20:G20"/>
    <mergeCell ref="B21:C21"/>
    <mergeCell ref="F21:G21"/>
    <mergeCell ref="B22:C22"/>
    <mergeCell ref="F22:G22"/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9"/>
  <sheetViews>
    <sheetView workbookViewId="0">
      <selection sqref="A1:H28"/>
    </sheetView>
  </sheetViews>
  <sheetFormatPr defaultRowHeight="15" x14ac:dyDescent="0.25"/>
  <cols>
    <col min="8" max="8" width="14.140625" customWidth="1"/>
  </cols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860.94623076923074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2869.8207692307687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860.94623076923074</v>
      </c>
      <c r="D3" s="213"/>
      <c r="E3" s="202" t="s">
        <v>284</v>
      </c>
      <c r="F3" s="202"/>
      <c r="G3" s="213">
        <f>G2*C5</f>
        <v>1434.9103846153844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-56.596415384615383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11192.300999999999</v>
      </c>
      <c r="D6" s="205"/>
      <c r="E6" s="204" t="s">
        <v>283</v>
      </c>
      <c r="F6" s="204"/>
      <c r="G6" s="213">
        <f>G5*G4</f>
        <v>-848.94623076923074</v>
      </c>
      <c r="H6" s="216"/>
    </row>
    <row r="7" spans="1:8" ht="17.25" thickTop="1" thickBot="1" x14ac:dyDescent="0.3">
      <c r="A7" s="103" t="s">
        <v>5</v>
      </c>
      <c r="B7" s="195" t="s">
        <v>9</v>
      </c>
      <c r="C7" s="196"/>
      <c r="D7" s="103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>
        <v>117</v>
      </c>
      <c r="B8" s="190" t="str">
        <f>IFERROR(VLOOKUP(A8,ListaIngredientes!$A$5:$F$155,2,FALSE),"")</f>
        <v>BANANA DA TERRA</v>
      </c>
      <c r="C8" s="191"/>
      <c r="D8" s="35" t="str">
        <f>IFERROR(VLOOKUP(A8,Tabela2[],3,FALSE),"")</f>
        <v>U</v>
      </c>
      <c r="E8" s="36">
        <v>3</v>
      </c>
      <c r="F8" s="192">
        <f>IFERROR(VLOOKUP(A8,ListaIngredientes!$A$5:$F$155,6,FALSE),"")</f>
        <v>1</v>
      </c>
      <c r="G8" s="192"/>
      <c r="H8" s="34">
        <f>IFERROR(E8*F8,"")</f>
        <v>3</v>
      </c>
    </row>
    <row r="9" spans="1:8" ht="20.25" thickTop="1" thickBot="1" x14ac:dyDescent="0.35">
      <c r="A9" s="33">
        <v>109</v>
      </c>
      <c r="B9" s="190" t="str">
        <f>IFERROR(VLOOKUP(A9,ListaIngredientes!$A$5:$F$155,2,FALSE),"")</f>
        <v>CASTANHA DO PARÁ</v>
      </c>
      <c r="C9" s="191"/>
      <c r="D9" s="35" t="str">
        <f>IFERROR(VLOOKUP(A9,Tabela2[],3,FALSE),"")</f>
        <v>KG</v>
      </c>
      <c r="E9" s="36">
        <v>200</v>
      </c>
      <c r="F9" s="192">
        <f>IFERROR(VLOOKUP(A9,ListaIngredientes!$A$5:$F$155,6,FALSE),"")</f>
        <v>3.5000000000000003E-2</v>
      </c>
      <c r="G9" s="192"/>
      <c r="H9" s="34">
        <f t="shared" ref="H9:H28" si="0">IFERROR(E9*F9,"")</f>
        <v>7.0000000000000009</v>
      </c>
    </row>
    <row r="10" spans="1:8" ht="20.25" thickTop="1" thickBot="1" x14ac:dyDescent="0.35">
      <c r="A10" s="33">
        <v>118</v>
      </c>
      <c r="B10" s="190" t="str">
        <f>IFERROR(VLOOKUP(A10,ListaIngredientes!$A$5:$F$155,2,FALSE),"")</f>
        <v>QUEIJO MUSSARELA 0 LACTOSE</v>
      </c>
      <c r="C10" s="191"/>
      <c r="D10" s="35" t="str">
        <f>IFERROR(VLOOKUP(A10,Tabela2[],3,FALSE),"")</f>
        <v>KG</v>
      </c>
      <c r="E10" s="36">
        <v>9</v>
      </c>
      <c r="F10" s="192">
        <f>IFERROR(VLOOKUP(A10,ListaIngredientes!$A$5:$F$155,6,FALSE),"")</f>
        <v>4.9000000000000002E-2</v>
      </c>
      <c r="G10" s="192"/>
      <c r="H10" s="34">
        <f t="shared" si="0"/>
        <v>0.441</v>
      </c>
    </row>
    <row r="11" spans="1:8" ht="20.25" thickTop="1" thickBot="1" x14ac:dyDescent="0.35">
      <c r="A11" s="33">
        <v>120</v>
      </c>
      <c r="B11" s="190" t="str">
        <f>IFERROR(VLOOKUP(A11,ListaIngredientes!$A$5:$F$155,2,FALSE),"")</f>
        <v>embalagem lasanha</v>
      </c>
      <c r="C11" s="191"/>
      <c r="D11" s="35" t="str">
        <f>IFERROR(VLOOKUP(A11,Tabela2[],3,FALSE),"")</f>
        <v>u</v>
      </c>
      <c r="E11" s="36">
        <v>900</v>
      </c>
      <c r="F11" s="192">
        <f>IFERROR(VLOOKUP(A11,ListaIngredientes!$A$5:$F$155,6,FALSE),"")</f>
        <v>0.53</v>
      </c>
      <c r="G11" s="192"/>
      <c r="H11" s="34">
        <f t="shared" si="0"/>
        <v>477</v>
      </c>
    </row>
    <row r="12" spans="1:8" ht="20.25" thickTop="1" thickBot="1" x14ac:dyDescent="0.35">
      <c r="A12" s="33">
        <v>116</v>
      </c>
      <c r="B12" s="190" t="str">
        <f>IFERROR(VLOOKUP(A12,ListaIngredientes!$A$5:$F$155,2,FALSE),"")</f>
        <v>CARNE SECA</v>
      </c>
      <c r="C12" s="191"/>
      <c r="D12" s="35" t="str">
        <f>IFERROR(VLOOKUP(A12,Tabela2[],3,FALSE),"")</f>
        <v>KG</v>
      </c>
      <c r="E12" s="36">
        <v>180</v>
      </c>
      <c r="F12" s="192">
        <f>IFERROR(VLOOKUP(A12,ListaIngredientes!$A$5:$F$155,6,FALSE),"")</f>
        <v>2.7E-2</v>
      </c>
      <c r="G12" s="192"/>
      <c r="H12" s="34">
        <f t="shared" si="0"/>
        <v>4.8600000000000003</v>
      </c>
    </row>
    <row r="13" spans="1:8" ht="20.25" thickTop="1" thickBot="1" x14ac:dyDescent="0.35">
      <c r="A13" s="33">
        <v>241</v>
      </c>
      <c r="B13" s="190" t="str">
        <f>IFERROR(VLOOKUP(A13,ListaIngredientes!$A$5:$F$155,2,FALSE),"")</f>
        <v>tampa transparente</v>
      </c>
      <c r="C13" s="191"/>
      <c r="D13" s="35" t="str">
        <f>IFERROR(VLOOKUP(A13,Tabela2[],3,FALSE),"")</f>
        <v>u</v>
      </c>
      <c r="E13" s="36">
        <v>1000</v>
      </c>
      <c r="F13" s="192">
        <f>IFERROR(VLOOKUP(A13,ListaIngredientes!$A$5:$F$155,6,FALSE),"")</f>
        <v>10.7</v>
      </c>
      <c r="G13" s="192"/>
      <c r="H13" s="34">
        <f t="shared" si="0"/>
        <v>10700</v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 t="str">
        <f>IFERROR(VLOOKUP(A14,Tabela2[],3,FALSE),"")</f>
        <v/>
      </c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>
      <c r="H29" s="40">
        <f>SUM(H8:H28)</f>
        <v>11192.300999999999</v>
      </c>
    </row>
  </sheetData>
  <mergeCells count="66">
    <mergeCell ref="B26:C26"/>
    <mergeCell ref="F26:G26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A6:B6"/>
    <mergeCell ref="C6:D6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9"/>
  <sheetViews>
    <sheetView workbookViewId="0">
      <selection sqref="A1:H28"/>
    </sheetView>
  </sheetViews>
  <sheetFormatPr defaultRowHeight="15" x14ac:dyDescent="0.25"/>
  <sheetData>
    <row r="1" spans="1:8" ht="17.25" thickTop="1" thickBot="1" x14ac:dyDescent="0.3">
      <c r="A1" s="70" t="s">
        <v>202</v>
      </c>
      <c r="B1" s="106">
        <v>501</v>
      </c>
      <c r="C1" s="205" t="str">
        <f>VLOOKUP(B1,PRODUTOS!$A$7:$E$204,2,FALSE)</f>
        <v>P A S T E L</v>
      </c>
      <c r="D1" s="205"/>
      <c r="E1" s="206">
        <f>C3</f>
        <v>0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0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0</v>
      </c>
      <c r="D3" s="213"/>
      <c r="E3" s="202" t="s">
        <v>284</v>
      </c>
      <c r="F3" s="202"/>
      <c r="G3" s="213">
        <f>G2*C5</f>
        <v>0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0.8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0</v>
      </c>
      <c r="D6" s="205"/>
      <c r="E6" s="204" t="s">
        <v>283</v>
      </c>
      <c r="F6" s="204"/>
      <c r="G6" s="213">
        <f>G5*G4</f>
        <v>12</v>
      </c>
      <c r="H6" s="216"/>
    </row>
    <row r="7" spans="1:8" ht="17.25" thickTop="1" thickBot="1" x14ac:dyDescent="0.3">
      <c r="A7" s="69" t="s">
        <v>5</v>
      </c>
      <c r="B7" s="195" t="s">
        <v>9</v>
      </c>
      <c r="C7" s="196"/>
      <c r="D7" s="6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/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/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/>
      <c r="B9" s="190" t="str">
        <f>IFERROR(VLOOKUP(A9,ListaIngredientes!$A$5:$F$155,2,FALSE),"")</f>
        <v/>
      </c>
      <c r="C9" s="191"/>
      <c r="D9" s="35" t="str">
        <f>IFERROR(VLOOKUP(A9,Tabela2[],3,FALSE),"")</f>
        <v/>
      </c>
      <c r="E9" s="36"/>
      <c r="F9" s="192" t="str">
        <f>IFERROR(VLOOKUP(A9,ListaIngredientes!$A$5:$F$155,6,FALSE),"")</f>
        <v/>
      </c>
      <c r="G9" s="192"/>
      <c r="H9" s="34" t="str">
        <f t="shared" ref="H9:H28" si="0">IFERROR(E9*F9,"")</f>
        <v/>
      </c>
    </row>
    <row r="10" spans="1:8" ht="20.25" thickTop="1" thickBot="1" x14ac:dyDescent="0.35">
      <c r="A10" s="33"/>
      <c r="B10" s="190" t="str">
        <f>IFERROR(VLOOKUP(A10,ListaIngredientes!$A$5:$F$155,2,FALSE),"")</f>
        <v/>
      </c>
      <c r="C10" s="191"/>
      <c r="D10" s="35" t="str">
        <f>IFERROR(VLOOKUP(A10,Tabela2[],3,FALSE),"")</f>
        <v/>
      </c>
      <c r="E10" s="36"/>
      <c r="F10" s="192" t="str">
        <f>IFERROR(VLOOKUP(A10,ListaIngredientes!$A$5:$F$155,6,FALSE),"")</f>
        <v/>
      </c>
      <c r="G10" s="192"/>
      <c r="H10" s="34" t="str">
        <f t="shared" si="0"/>
        <v/>
      </c>
    </row>
    <row r="11" spans="1:8" ht="20.25" thickTop="1" thickBot="1" x14ac:dyDescent="0.35">
      <c r="A11" s="33"/>
      <c r="B11" s="190" t="str">
        <f>IFERROR(VLOOKUP(A11,ListaIngredientes!$A$5:$F$155,2,FALSE),"")</f>
        <v/>
      </c>
      <c r="C11" s="191"/>
      <c r="D11" s="35" t="str">
        <f>IFERROR(VLOOKUP(A11,Tabela2[],3,FALSE),"")</f>
        <v/>
      </c>
      <c r="E11" s="36"/>
      <c r="F11" s="192" t="str">
        <f>IFERROR(VLOOKUP(A11,ListaIngredientes!$A$5:$F$155,6,FALSE),"")</f>
        <v/>
      </c>
      <c r="G11" s="192"/>
      <c r="H11" s="34" t="str">
        <f t="shared" si="0"/>
        <v/>
      </c>
    </row>
    <row r="12" spans="1:8" ht="20.25" thickTop="1" thickBot="1" x14ac:dyDescent="0.35">
      <c r="A12" s="33"/>
      <c r="B12" s="190" t="str">
        <f>IFERROR(VLOOKUP(A12,ListaIngredientes!$A$5:$F$155,2,FALSE),"")</f>
        <v/>
      </c>
      <c r="C12" s="191"/>
      <c r="D12" s="35" t="str">
        <f>IFERROR(VLOOKUP(A12,Tabela2[],3,FALSE),"")</f>
        <v/>
      </c>
      <c r="E12" s="36"/>
      <c r="F12" s="192" t="str">
        <f>IFERROR(VLOOKUP(A12,ListaIngredientes!$A$5:$F$155,6,FALSE),"")</f>
        <v/>
      </c>
      <c r="G12" s="192"/>
      <c r="H12" s="34" t="str">
        <f t="shared" si="0"/>
        <v/>
      </c>
    </row>
    <row r="13" spans="1:8" ht="20.25" thickTop="1" thickBot="1" x14ac:dyDescent="0.35">
      <c r="A13" s="33"/>
      <c r="B13" s="190" t="str">
        <f>IFERROR(VLOOKUP(A13,ListaIngredientes!$A$5:$F$155,2,FALSE),"")</f>
        <v/>
      </c>
      <c r="C13" s="191"/>
      <c r="D13" s="35" t="str">
        <f>IFERROR(VLOOKUP(A13,Tabela2[],3,FALSE),"")</f>
        <v/>
      </c>
      <c r="E13" s="36"/>
      <c r="F13" s="192" t="str">
        <f>IFERROR(VLOOKUP(A13,ListaIngredientes!$A$5:$F$155,6,FALSE),"")</f>
        <v/>
      </c>
      <c r="G13" s="192"/>
      <c r="H13" s="34" t="str">
        <f t="shared" si="0"/>
        <v/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 t="str">
        <f>IFERROR(VLOOKUP(A14,Tabela2[],3,FALSE),"")</f>
        <v/>
      </c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/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A6:B6"/>
    <mergeCell ref="C6:D6"/>
    <mergeCell ref="B26:C26"/>
    <mergeCell ref="F26:G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29"/>
  <sheetViews>
    <sheetView workbookViewId="0">
      <selection sqref="A1:H28"/>
    </sheetView>
  </sheetViews>
  <sheetFormatPr defaultRowHeight="15" x14ac:dyDescent="0.25"/>
  <cols>
    <col min="2" max="2" width="7.140625" bestFit="1" customWidth="1"/>
    <col min="4" max="4" width="15.42578125" customWidth="1"/>
  </cols>
  <sheetData>
    <row r="1" spans="1:8" ht="17.25" thickTop="1" thickBot="1" x14ac:dyDescent="0.3">
      <c r="A1" s="70" t="s">
        <v>202</v>
      </c>
      <c r="B1" s="106">
        <v>501</v>
      </c>
      <c r="C1" s="200" t="str">
        <f>VLOOKUP(B1,PRODUTOS!$A$7:$E$204,2,FALSE)</f>
        <v>P A S T E L</v>
      </c>
      <c r="D1" s="201"/>
      <c r="E1" s="206">
        <f>C3</f>
        <v>0</v>
      </c>
      <c r="F1" s="198"/>
      <c r="G1" s="198" t="s">
        <v>148</v>
      </c>
      <c r="H1" s="198"/>
    </row>
    <row r="2" spans="1:8" ht="20.25" thickTop="1" thickBot="1" x14ac:dyDescent="0.35">
      <c r="A2" s="198" t="s">
        <v>282</v>
      </c>
      <c r="B2" s="198"/>
      <c r="C2" s="207">
        <v>0.2</v>
      </c>
      <c r="D2" s="207"/>
      <c r="E2" s="202" t="s">
        <v>131</v>
      </c>
      <c r="F2" s="202"/>
      <c r="G2" s="214">
        <f>IFERROR(C3/(1-C2-C5),"")</f>
        <v>0</v>
      </c>
      <c r="H2" s="215"/>
    </row>
    <row r="3" spans="1:8" ht="17.25" thickTop="1" thickBot="1" x14ac:dyDescent="0.3">
      <c r="A3" s="197" t="s">
        <v>130</v>
      </c>
      <c r="B3" s="197"/>
      <c r="C3" s="213">
        <f>IFERROR(C6/C4,"")</f>
        <v>0</v>
      </c>
      <c r="D3" s="213"/>
      <c r="E3" s="202" t="s">
        <v>284</v>
      </c>
      <c r="F3" s="202"/>
      <c r="G3" s="213">
        <f>G2*C5</f>
        <v>0</v>
      </c>
      <c r="H3" s="216"/>
    </row>
    <row r="4" spans="1:8" ht="20.25" thickTop="1" thickBot="1" x14ac:dyDescent="0.35">
      <c r="A4" s="200" t="s">
        <v>129</v>
      </c>
      <c r="B4" s="201"/>
      <c r="C4" s="211">
        <v>13</v>
      </c>
      <c r="D4" s="211"/>
      <c r="E4" s="199" t="s">
        <v>133</v>
      </c>
      <c r="F4" s="199"/>
      <c r="G4" s="203">
        <v>15</v>
      </c>
      <c r="H4" s="203"/>
    </row>
    <row r="5" spans="1:8" ht="20.25" thickTop="1" thickBot="1" x14ac:dyDescent="0.35">
      <c r="A5" s="198" t="s">
        <v>128</v>
      </c>
      <c r="B5" s="198"/>
      <c r="C5" s="208">
        <v>0.5</v>
      </c>
      <c r="D5" s="208"/>
      <c r="E5" s="199" t="s">
        <v>283</v>
      </c>
      <c r="F5" s="199"/>
      <c r="G5" s="209">
        <f>1-C3/G4-C2</f>
        <v>0.8</v>
      </c>
      <c r="H5" s="210"/>
    </row>
    <row r="6" spans="1:8" ht="17.25" thickTop="1" thickBot="1" x14ac:dyDescent="0.3">
      <c r="A6" s="198" t="s">
        <v>11</v>
      </c>
      <c r="B6" s="198"/>
      <c r="C6" s="212">
        <f>SUM(H8:H28)</f>
        <v>0</v>
      </c>
      <c r="D6" s="205"/>
      <c r="E6" s="204" t="s">
        <v>283</v>
      </c>
      <c r="F6" s="204"/>
      <c r="G6" s="213">
        <f>G5*G4</f>
        <v>12</v>
      </c>
      <c r="H6" s="216"/>
    </row>
    <row r="7" spans="1:8" ht="17.25" thickTop="1" thickBot="1" x14ac:dyDescent="0.3">
      <c r="A7" s="69" t="s">
        <v>5</v>
      </c>
      <c r="B7" s="195" t="s">
        <v>9</v>
      </c>
      <c r="C7" s="196"/>
      <c r="D7" s="6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/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/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/>
      <c r="B9" s="190" t="str">
        <f>IFERROR(VLOOKUP(A9,ListaIngredientes!$A$5:$F$155,2,FALSE),"")</f>
        <v/>
      </c>
      <c r="C9" s="191"/>
      <c r="D9" s="35" t="str">
        <f>IFERROR(VLOOKUP(A9,Tabela2[],3,FALSE),"")</f>
        <v/>
      </c>
      <c r="E9" s="36"/>
      <c r="F9" s="192" t="str">
        <f>IFERROR(VLOOKUP(A9,ListaIngredientes!$A$5:$F$155,6,FALSE),"")</f>
        <v/>
      </c>
      <c r="G9" s="192"/>
      <c r="H9" s="34" t="str">
        <f t="shared" ref="H9:H28" si="0">IFERROR(E9*F9,"")</f>
        <v/>
      </c>
    </row>
    <row r="10" spans="1:8" ht="20.25" thickTop="1" thickBot="1" x14ac:dyDescent="0.35">
      <c r="A10" s="33"/>
      <c r="B10" s="190" t="str">
        <f>IFERROR(VLOOKUP(A10,ListaIngredientes!$A$5:$F$155,2,FALSE),"")</f>
        <v/>
      </c>
      <c r="C10" s="191"/>
      <c r="D10" s="35" t="str">
        <f>IFERROR(VLOOKUP(A10,Tabela2[],3,FALSE),"")</f>
        <v/>
      </c>
      <c r="E10" s="36"/>
      <c r="F10" s="192" t="str">
        <f>IFERROR(VLOOKUP(A10,ListaIngredientes!$A$5:$F$155,6,FALSE),"")</f>
        <v/>
      </c>
      <c r="G10" s="192"/>
      <c r="H10" s="34" t="str">
        <f t="shared" si="0"/>
        <v/>
      </c>
    </row>
    <row r="11" spans="1:8" ht="20.25" thickTop="1" thickBot="1" x14ac:dyDescent="0.35">
      <c r="A11" s="33"/>
      <c r="B11" s="190" t="str">
        <f>IFERROR(VLOOKUP(A11,ListaIngredientes!$A$5:$F$155,2,FALSE),"")</f>
        <v/>
      </c>
      <c r="C11" s="191"/>
      <c r="D11" s="35" t="str">
        <f>IFERROR(VLOOKUP(A11,Tabela2[],3,FALSE),"")</f>
        <v/>
      </c>
      <c r="E11" s="36"/>
      <c r="F11" s="192" t="str">
        <f>IFERROR(VLOOKUP(A11,ListaIngredientes!$A$5:$F$155,6,FALSE),"")</f>
        <v/>
      </c>
      <c r="G11" s="192"/>
      <c r="H11" s="34" t="str">
        <f t="shared" si="0"/>
        <v/>
      </c>
    </row>
    <row r="12" spans="1:8" ht="20.25" thickTop="1" thickBot="1" x14ac:dyDescent="0.35">
      <c r="A12" s="33"/>
      <c r="B12" s="190" t="str">
        <f>IFERROR(VLOOKUP(A12,ListaIngredientes!$A$5:$F$155,2,FALSE),"")</f>
        <v/>
      </c>
      <c r="C12" s="191"/>
      <c r="D12" s="35" t="str">
        <f>IFERROR(VLOOKUP(A12,Tabela2[],3,FALSE),"")</f>
        <v/>
      </c>
      <c r="E12" s="36"/>
      <c r="F12" s="192" t="str">
        <f>IFERROR(VLOOKUP(A12,ListaIngredientes!$A$5:$F$155,6,FALSE),"")</f>
        <v/>
      </c>
      <c r="G12" s="192"/>
      <c r="H12" s="34" t="str">
        <f t="shared" si="0"/>
        <v/>
      </c>
    </row>
    <row r="13" spans="1:8" ht="20.25" thickTop="1" thickBot="1" x14ac:dyDescent="0.35">
      <c r="A13" s="33"/>
      <c r="B13" s="190" t="str">
        <f>IFERROR(VLOOKUP(A13,ListaIngredientes!$A$5:$F$155,2,FALSE),"")</f>
        <v/>
      </c>
      <c r="C13" s="191"/>
      <c r="D13" s="35" t="str">
        <f>IFERROR(VLOOKUP(A13,Tabela2[],3,FALSE),"")</f>
        <v/>
      </c>
      <c r="E13" s="36"/>
      <c r="F13" s="192" t="str">
        <f>IFERROR(VLOOKUP(A13,ListaIngredientes!$A$5:$F$155,6,FALSE),"")</f>
        <v/>
      </c>
      <c r="G13" s="192"/>
      <c r="H13" s="34" t="str">
        <f t="shared" si="0"/>
        <v/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 t="str">
        <f>IFERROR(VLOOKUP(A14,Tabela2[],3,FALSE),"")</f>
        <v/>
      </c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IFERROR(VLOOKUP(A27,ListaIngredientes!$A$5:$F$156,6,FALSE),"")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/>
  </sheetData>
  <mergeCells count="66"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A6:B6"/>
    <mergeCell ref="C6:D6"/>
    <mergeCell ref="B26:C26"/>
    <mergeCell ref="F26:G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9"/>
  <sheetViews>
    <sheetView workbookViewId="0">
      <selection sqref="A1:B1"/>
    </sheetView>
  </sheetViews>
  <sheetFormatPr defaultRowHeight="15" x14ac:dyDescent="0.25"/>
  <sheetData>
    <row r="1" spans="1:8" ht="17.25" thickTop="1" thickBot="1" x14ac:dyDescent="0.3">
      <c r="A1" s="198" t="s">
        <v>125</v>
      </c>
      <c r="B1" s="198"/>
      <c r="C1" s="237"/>
      <c r="D1" s="238"/>
      <c r="E1" s="198" t="s">
        <v>126</v>
      </c>
      <c r="F1" s="198"/>
      <c r="G1" s="239"/>
      <c r="H1" s="237"/>
    </row>
    <row r="2" spans="1:8" ht="20.25" thickTop="1" thickBot="1" x14ac:dyDescent="0.35">
      <c r="A2" s="198" t="s">
        <v>127</v>
      </c>
      <c r="B2" s="198"/>
      <c r="C2" s="240">
        <v>0.25</v>
      </c>
      <c r="D2" s="241"/>
      <c r="E2" s="198" t="s">
        <v>128</v>
      </c>
      <c r="F2" s="198"/>
      <c r="G2" s="208">
        <v>0.5</v>
      </c>
      <c r="H2" s="240"/>
    </row>
    <row r="3" spans="1:8" ht="20.25" thickTop="1" thickBot="1" x14ac:dyDescent="0.35">
      <c r="A3" s="68" t="s">
        <v>129</v>
      </c>
      <c r="B3" s="68"/>
      <c r="C3" s="219"/>
      <c r="D3" s="220"/>
      <c r="E3" s="221" t="s">
        <v>11</v>
      </c>
      <c r="F3" s="222"/>
      <c r="G3" s="223" t="str">
        <f>H28</f>
        <v/>
      </c>
      <c r="H3" s="224"/>
    </row>
    <row r="4" spans="1:8" ht="17.25" thickTop="1" thickBot="1" x14ac:dyDescent="0.3">
      <c r="A4" s="225" t="s">
        <v>130</v>
      </c>
      <c r="B4" s="226"/>
      <c r="C4" s="227" t="str">
        <f>IFERROR(G3/C3,"")</f>
        <v/>
      </c>
      <c r="D4" s="228"/>
      <c r="E4" s="221" t="s">
        <v>131</v>
      </c>
      <c r="F4" s="222"/>
      <c r="G4" s="229" t="str">
        <f>IFERROR(C4/(1-C2-G2),"")</f>
        <v/>
      </c>
      <c r="H4" s="230"/>
    </row>
    <row r="5" spans="1:8" ht="17.25" thickTop="1" thickBot="1" x14ac:dyDescent="0.3">
      <c r="A5" s="231"/>
      <c r="B5" s="232"/>
      <c r="C5" s="232"/>
      <c r="D5" s="233"/>
      <c r="E5" s="221" t="s">
        <v>132</v>
      </c>
      <c r="F5" s="222"/>
      <c r="G5" s="234">
        <v>3</v>
      </c>
      <c r="H5" s="235"/>
    </row>
    <row r="6" spans="1:8" ht="20.25" thickTop="1" thickBot="1" x14ac:dyDescent="0.35">
      <c r="A6" s="50" t="s">
        <v>143</v>
      </c>
      <c r="B6" s="49">
        <v>3</v>
      </c>
      <c r="C6" s="30" t="s">
        <v>144</v>
      </c>
      <c r="D6" s="51" t="str">
        <f>IFERROR(C4*B6,"")</f>
        <v/>
      </c>
      <c r="E6" s="200" t="s">
        <v>133</v>
      </c>
      <c r="F6" s="201"/>
      <c r="G6" s="229"/>
      <c r="H6" s="236"/>
    </row>
    <row r="7" spans="1:8" ht="17.25" thickTop="1" thickBot="1" x14ac:dyDescent="0.3">
      <c r="A7" s="69" t="s">
        <v>5</v>
      </c>
      <c r="B7" s="195" t="s">
        <v>9</v>
      </c>
      <c r="C7" s="196"/>
      <c r="D7" s="69" t="s">
        <v>6</v>
      </c>
      <c r="E7" s="26" t="s">
        <v>8</v>
      </c>
      <c r="F7" s="194" t="s">
        <v>7</v>
      </c>
      <c r="G7" s="194"/>
      <c r="H7" s="26" t="s">
        <v>123</v>
      </c>
    </row>
    <row r="8" spans="1:8" ht="20.25" thickTop="1" thickBot="1" x14ac:dyDescent="0.35">
      <c r="A8" s="33"/>
      <c r="B8" s="190" t="str">
        <f>IFERROR(VLOOKUP(A8,ListaIngredientes!$A$5:$F$155,2,FALSE),"")</f>
        <v/>
      </c>
      <c r="C8" s="191"/>
      <c r="D8" s="35" t="str">
        <f>IFERROR(VLOOKUP(A8,Tabela2[],3,FALSE),"")</f>
        <v/>
      </c>
      <c r="E8" s="36"/>
      <c r="F8" s="192" t="str">
        <f>IFERROR(VLOOKUP(A8,ListaIngredientes!$A$5:$F$155,6,FALSE),"")</f>
        <v/>
      </c>
      <c r="G8" s="192"/>
      <c r="H8" s="34" t="str">
        <f>IFERROR(E8*F8,"")</f>
        <v/>
      </c>
    </row>
    <row r="9" spans="1:8" ht="20.25" thickTop="1" thickBot="1" x14ac:dyDescent="0.35">
      <c r="A9" s="33"/>
      <c r="B9" s="190" t="str">
        <f>IFERROR(VLOOKUP(A9,ListaIngredientes!$A$5:$F$155,2,FALSE),"")</f>
        <v/>
      </c>
      <c r="C9" s="191"/>
      <c r="D9" s="35" t="str">
        <f>IFERROR(VLOOKUP(A9,Tabela2[],3,FALSE),"")</f>
        <v/>
      </c>
      <c r="E9" s="36"/>
      <c r="F9" s="192" t="str">
        <f>IFERROR(VLOOKUP(A9,ListaIngredientes!$A$5:$F$155,6,FALSE),"")</f>
        <v/>
      </c>
      <c r="G9" s="192"/>
      <c r="H9" s="34" t="str">
        <f t="shared" ref="H9:H28" si="0">IFERROR(E9*F9,"")</f>
        <v/>
      </c>
    </row>
    <row r="10" spans="1:8" ht="20.25" thickTop="1" thickBot="1" x14ac:dyDescent="0.35">
      <c r="A10" s="33"/>
      <c r="B10" s="190" t="str">
        <f>IFERROR(VLOOKUP(A10,ListaIngredientes!$A$5:$F$155,2,FALSE),"")</f>
        <v/>
      </c>
      <c r="C10" s="191"/>
      <c r="D10" s="35" t="str">
        <f>IFERROR(VLOOKUP(A10,Tabela2[],3,FALSE),"")</f>
        <v/>
      </c>
      <c r="E10" s="36"/>
      <c r="F10" s="192" t="str">
        <f>IFERROR(VLOOKUP(A10,ListaIngredientes!$A$5:$F$155,6,FALSE),"")</f>
        <v/>
      </c>
      <c r="G10" s="192"/>
      <c r="H10" s="34" t="str">
        <f t="shared" si="0"/>
        <v/>
      </c>
    </row>
    <row r="11" spans="1:8" ht="20.25" thickTop="1" thickBot="1" x14ac:dyDescent="0.35">
      <c r="A11" s="33"/>
      <c r="B11" s="190" t="str">
        <f>IFERROR(VLOOKUP(A11,ListaIngredientes!$A$5:$F$155,2,FALSE),"")</f>
        <v/>
      </c>
      <c r="C11" s="191"/>
      <c r="D11" s="35" t="str">
        <f>IFERROR(VLOOKUP(A11,Tabela2[],3,FALSE),"")</f>
        <v/>
      </c>
      <c r="E11" s="36"/>
      <c r="F11" s="192" t="str">
        <f>IFERROR(VLOOKUP(A11,ListaIngredientes!$A$5:$F$155,6,FALSE),"")</f>
        <v/>
      </c>
      <c r="G11" s="192"/>
      <c r="H11" s="34" t="str">
        <f t="shared" si="0"/>
        <v/>
      </c>
    </row>
    <row r="12" spans="1:8" ht="20.25" thickTop="1" thickBot="1" x14ac:dyDescent="0.35">
      <c r="A12" s="33"/>
      <c r="B12" s="190" t="str">
        <f>IFERROR(VLOOKUP(A12,ListaIngredientes!$A$5:$F$155,2,FALSE),"")</f>
        <v/>
      </c>
      <c r="C12" s="191"/>
      <c r="D12" s="35" t="str">
        <f>IFERROR(VLOOKUP(A12,Tabela2[],3,FALSE),"")</f>
        <v/>
      </c>
      <c r="E12" s="36"/>
      <c r="F12" s="192" t="str">
        <f>IFERROR(VLOOKUP(A12,ListaIngredientes!$A$5:$F$155,6,FALSE),"")</f>
        <v/>
      </c>
      <c r="G12" s="192"/>
      <c r="H12" s="34" t="str">
        <f t="shared" si="0"/>
        <v/>
      </c>
    </row>
    <row r="13" spans="1:8" ht="20.25" thickTop="1" thickBot="1" x14ac:dyDescent="0.35">
      <c r="A13" s="33"/>
      <c r="B13" s="190" t="str">
        <f>IFERROR(VLOOKUP(A13,ListaIngredientes!$A$5:$F$155,2,FALSE),"")</f>
        <v/>
      </c>
      <c r="C13" s="191"/>
      <c r="D13" s="35" t="str">
        <f>IFERROR(VLOOKUP(A13,Tabela2[],3,FALSE),"")</f>
        <v/>
      </c>
      <c r="E13" s="36"/>
      <c r="F13" s="192" t="str">
        <f>IFERROR(VLOOKUP(A13,ListaIngredientes!$A$5:$F$155,6,FALSE),"")</f>
        <v/>
      </c>
      <c r="G13" s="192"/>
      <c r="H13" s="34" t="str">
        <f t="shared" si="0"/>
        <v/>
      </c>
    </row>
    <row r="14" spans="1:8" ht="20.25" thickTop="1" thickBot="1" x14ac:dyDescent="0.35">
      <c r="A14" s="33"/>
      <c r="B14" s="190" t="str">
        <f>IFERROR(VLOOKUP(A14,ListaIngredientes!$A$5:$F$155,2,FALSE),"")</f>
        <v/>
      </c>
      <c r="C14" s="191"/>
      <c r="D14" s="35" t="str">
        <f>IFERROR(VLOOKUP(A14,Tabela2[],3,FALSE),"")</f>
        <v/>
      </c>
      <c r="E14" s="36"/>
      <c r="F14" s="192" t="str">
        <f>IFERROR(VLOOKUP(A14,ListaIngredientes!$A$5:$F$155,6,FALSE),"")</f>
        <v/>
      </c>
      <c r="G14" s="192"/>
      <c r="H14" s="34" t="str">
        <f t="shared" si="0"/>
        <v/>
      </c>
    </row>
    <row r="15" spans="1:8" ht="20.25" thickTop="1" thickBot="1" x14ac:dyDescent="0.35">
      <c r="A15" s="33"/>
      <c r="B15" s="190" t="str">
        <f>IFERROR(VLOOKUP(A15,ListaIngredientes!$A$5:$F$155,2,FALSE),"")</f>
        <v/>
      </c>
      <c r="C15" s="191"/>
      <c r="D15" s="35" t="str">
        <f>IFERROR(VLOOKUP(A15,Tabela2[],3,FALSE),"")</f>
        <v/>
      </c>
      <c r="E15" s="36"/>
      <c r="F15" s="192" t="str">
        <f>IFERROR(VLOOKUP(A15,ListaIngredientes!$A$5:$F$155,6,FALSE),"")</f>
        <v/>
      </c>
      <c r="G15" s="192"/>
      <c r="H15" s="34" t="str">
        <f t="shared" si="0"/>
        <v/>
      </c>
    </row>
    <row r="16" spans="1:8" ht="20.25" thickTop="1" thickBot="1" x14ac:dyDescent="0.35">
      <c r="A16" s="33"/>
      <c r="B16" s="190" t="str">
        <f>IFERROR(VLOOKUP(A16,ListaIngredientes!$A$5:$F$155,2,FALSE),"")</f>
        <v/>
      </c>
      <c r="C16" s="191"/>
      <c r="D16" s="35" t="str">
        <f>IFERROR(VLOOKUP(A16,Tabela2[],3,FALSE),"")</f>
        <v/>
      </c>
      <c r="E16" s="36"/>
      <c r="F16" s="192" t="str">
        <f>IFERROR(VLOOKUP(A16,ListaIngredientes!$A$5:$F$155,6,FALSE),"")</f>
        <v/>
      </c>
      <c r="G16" s="192"/>
      <c r="H16" s="34" t="str">
        <f t="shared" si="0"/>
        <v/>
      </c>
    </row>
    <row r="17" spans="1:8" ht="20.25" thickTop="1" thickBot="1" x14ac:dyDescent="0.35">
      <c r="A17" s="33"/>
      <c r="B17" s="190" t="str">
        <f>IFERROR(VLOOKUP(A17,ListaIngredientes!$A$5:$F$155,2,FALSE),"")</f>
        <v/>
      </c>
      <c r="C17" s="191"/>
      <c r="D17" s="35" t="str">
        <f>IFERROR(VLOOKUP(A17,Tabela2[],3,FALSE),"")</f>
        <v/>
      </c>
      <c r="E17" s="36"/>
      <c r="F17" s="192" t="str">
        <f>IFERROR(VLOOKUP(A17,ListaIngredientes!$A$5:$F$155,6,FALSE),"")</f>
        <v/>
      </c>
      <c r="G17" s="192"/>
      <c r="H17" s="34" t="str">
        <f t="shared" si="0"/>
        <v/>
      </c>
    </row>
    <row r="18" spans="1:8" ht="20.25" thickTop="1" thickBot="1" x14ac:dyDescent="0.35">
      <c r="A18" s="33"/>
      <c r="B18" s="190" t="str">
        <f>IFERROR(VLOOKUP(A18,ListaIngredientes!$A$5:$F$155,2,FALSE),"")</f>
        <v/>
      </c>
      <c r="C18" s="191"/>
      <c r="D18" s="35" t="str">
        <f>IFERROR(VLOOKUP(A18,Tabela2[],3,FALSE),"")</f>
        <v/>
      </c>
      <c r="E18" s="36"/>
      <c r="F18" s="192" t="str">
        <f>IFERROR(VLOOKUP(A18,ListaIngredientes!$A$5:$F$155,6,FALSE),"")</f>
        <v/>
      </c>
      <c r="G18" s="192"/>
      <c r="H18" s="34" t="str">
        <f t="shared" si="0"/>
        <v/>
      </c>
    </row>
    <row r="19" spans="1:8" ht="20.25" thickTop="1" thickBot="1" x14ac:dyDescent="0.35">
      <c r="A19" s="33"/>
      <c r="B19" s="190" t="str">
        <f>IFERROR(VLOOKUP(A19,ListaIngredientes!$A$5:$F$155,2,FALSE),"")</f>
        <v/>
      </c>
      <c r="C19" s="191"/>
      <c r="D19" s="35" t="str">
        <f>IFERROR(VLOOKUP(A19,Tabela2[],3,FALSE),"")</f>
        <v/>
      </c>
      <c r="E19" s="36"/>
      <c r="F19" s="192" t="str">
        <f>IFERROR(VLOOKUP(A19,ListaIngredientes!$A$5:$F$155,6,FALSE),"")</f>
        <v/>
      </c>
      <c r="G19" s="192"/>
      <c r="H19" s="34" t="str">
        <f t="shared" si="0"/>
        <v/>
      </c>
    </row>
    <row r="20" spans="1:8" ht="20.25" thickTop="1" thickBot="1" x14ac:dyDescent="0.35">
      <c r="A20" s="33"/>
      <c r="B20" s="190" t="str">
        <f>IFERROR(VLOOKUP(A20,ListaIngredientes!$A$5:$F$155,2,FALSE),"")</f>
        <v/>
      </c>
      <c r="C20" s="191"/>
      <c r="D20" s="35" t="str">
        <f>IFERROR(VLOOKUP(A20,Tabela2[],3,FALSE),"")</f>
        <v/>
      </c>
      <c r="E20" s="36"/>
      <c r="F20" s="192" t="str">
        <f>IFERROR(VLOOKUP(A20,ListaIngredientes!$A$5:$F$155,6,FALSE),"")</f>
        <v/>
      </c>
      <c r="G20" s="192"/>
      <c r="H20" s="34" t="str">
        <f t="shared" si="0"/>
        <v/>
      </c>
    </row>
    <row r="21" spans="1:8" ht="20.25" thickTop="1" thickBot="1" x14ac:dyDescent="0.35">
      <c r="A21" s="33"/>
      <c r="B21" s="190" t="str">
        <f>IFERROR(VLOOKUP(A21,ListaIngredientes!$A$5:$F$155,2,FALSE),"")</f>
        <v/>
      </c>
      <c r="C21" s="191"/>
      <c r="D21" s="35" t="str">
        <f>IFERROR(VLOOKUP(A21,Tabela2[],3,FALSE),"")</f>
        <v/>
      </c>
      <c r="E21" s="36"/>
      <c r="F21" s="192" t="str">
        <f>IFERROR(VLOOKUP(A21,ListaIngredientes!$A$5:$F$155,6,FALSE),"")</f>
        <v/>
      </c>
      <c r="G21" s="192"/>
      <c r="H21" s="34" t="str">
        <f t="shared" si="0"/>
        <v/>
      </c>
    </row>
    <row r="22" spans="1:8" ht="20.25" thickTop="1" thickBot="1" x14ac:dyDescent="0.35">
      <c r="A22" s="33"/>
      <c r="B22" s="190" t="str">
        <f>IFERROR(VLOOKUP(A22,ListaIngredientes!$A$5:$F$155,2,FALSE),"")</f>
        <v/>
      </c>
      <c r="C22" s="191"/>
      <c r="D22" s="35" t="str">
        <f>IFERROR(VLOOKUP(A22,Tabela2[],3,FALSE),"")</f>
        <v/>
      </c>
      <c r="E22" s="36"/>
      <c r="F22" s="192" t="str">
        <f>IFERROR(VLOOKUP(A22,ListaIngredientes!$A$5:$F$155,6,FALSE),"")</f>
        <v/>
      </c>
      <c r="G22" s="192"/>
      <c r="H22" s="34" t="str">
        <f t="shared" si="0"/>
        <v/>
      </c>
    </row>
    <row r="23" spans="1:8" ht="20.25" thickTop="1" thickBot="1" x14ac:dyDescent="0.35">
      <c r="A23" s="33"/>
      <c r="B23" s="190" t="str">
        <f>IFERROR(VLOOKUP(A23,ListaIngredientes!$A$5:$F$155,2,FALSE),"")</f>
        <v/>
      </c>
      <c r="C23" s="191"/>
      <c r="D23" s="35" t="str">
        <f>IFERROR(VLOOKUP(A23,Tabela2[],3,FALSE),"")</f>
        <v/>
      </c>
      <c r="E23" s="36"/>
      <c r="F23" s="192" t="str">
        <f>IFERROR(VLOOKUP(A23,ListaIngredientes!$A$5:$F$155,6,FALSE),"")</f>
        <v/>
      </c>
      <c r="G23" s="192"/>
      <c r="H23" s="34" t="str">
        <f t="shared" si="0"/>
        <v/>
      </c>
    </row>
    <row r="24" spans="1:8" ht="20.25" thickTop="1" thickBot="1" x14ac:dyDescent="0.35">
      <c r="A24" s="33"/>
      <c r="B24" s="190" t="str">
        <f>IFERROR(VLOOKUP(A24,ListaIngredientes!$A$5:$F$155,2,FALSE),"")</f>
        <v/>
      </c>
      <c r="C24" s="191"/>
      <c r="D24" s="35" t="str">
        <f>IFERROR(VLOOKUP(A24,Tabela2[],3,FALSE),"")</f>
        <v/>
      </c>
      <c r="E24" s="36"/>
      <c r="F24" s="192" t="str">
        <f>IFERROR(VLOOKUP(A24,ListaIngredientes!$A$5:$F$155,6,FALSE),"")</f>
        <v/>
      </c>
      <c r="G24" s="192"/>
      <c r="H24" s="34" t="str">
        <f t="shared" si="0"/>
        <v/>
      </c>
    </row>
    <row r="25" spans="1:8" ht="20.25" thickTop="1" thickBot="1" x14ac:dyDescent="0.35">
      <c r="A25" s="33"/>
      <c r="B25" s="190" t="str">
        <f>IFERROR(VLOOKUP(A25,ListaIngredientes!$A$5:$F$155,2,FALSE),"")</f>
        <v/>
      </c>
      <c r="C25" s="191"/>
      <c r="D25" s="35" t="str">
        <f>IFERROR(VLOOKUP(A25,Tabela2[],3,FALSE),"")</f>
        <v/>
      </c>
      <c r="E25" s="36"/>
      <c r="F25" s="192" t="str">
        <f>IFERROR(VLOOKUP(A25,ListaIngredientes!$A$5:$F$155,6,FALSE),"")</f>
        <v/>
      </c>
      <c r="G25" s="192"/>
      <c r="H25" s="34" t="str">
        <f t="shared" si="0"/>
        <v/>
      </c>
    </row>
    <row r="26" spans="1:8" ht="20.25" thickTop="1" thickBot="1" x14ac:dyDescent="0.35">
      <c r="A26" s="33"/>
      <c r="B26" s="190" t="str">
        <f>IFERROR(VLOOKUP(A26,ListaIngredientes!$A$5:$F$155,2,FALSE),"")</f>
        <v/>
      </c>
      <c r="C26" s="191"/>
      <c r="D26" s="35" t="str">
        <f>IFERROR(VLOOKUP(A26,Tabela2[],3,FALSE),"")</f>
        <v/>
      </c>
      <c r="E26" s="36"/>
      <c r="F26" s="192" t="str">
        <f>IFERROR(VLOOKUP(A26,ListaIngredientes!$A$5:$F$155,6,FALSE),"")</f>
        <v/>
      </c>
      <c r="G26" s="192"/>
      <c r="H26" s="34" t="str">
        <f t="shared" si="0"/>
        <v/>
      </c>
    </row>
    <row r="27" spans="1:8" ht="20.25" thickTop="1" thickBot="1" x14ac:dyDescent="0.35">
      <c r="A27" s="33"/>
      <c r="B27" s="190" t="str">
        <f>IFERROR(VLOOKUP(A27,ListaIngredientes!$A$5:$F$155,2,FALSE),"")</f>
        <v/>
      </c>
      <c r="C27" s="191"/>
      <c r="D27" s="35" t="str">
        <f>IFERROR(VLOOKUP(A27,Tabela2[],3,FALSE),"")</f>
        <v/>
      </c>
      <c r="E27" s="36"/>
      <c r="F27" s="218" t="str">
        <f>IFERROR(VLOOKUP(A27,ListaIngredientes!$A$5:$F$159,6,FALSE),"")</f>
        <v/>
      </c>
      <c r="G27" s="192"/>
      <c r="H27" s="34" t="str">
        <f t="shared" si="0"/>
        <v/>
      </c>
    </row>
    <row r="28" spans="1:8" ht="20.25" thickTop="1" thickBot="1" x14ac:dyDescent="0.35">
      <c r="A28" s="27"/>
      <c r="B28" s="27"/>
      <c r="C28" s="27"/>
      <c r="D28" s="28"/>
      <c r="E28" s="29"/>
      <c r="F28" s="193" t="s">
        <v>124</v>
      </c>
      <c r="G28" s="193"/>
      <c r="H28" s="34" t="str">
        <f t="shared" si="0"/>
        <v/>
      </c>
    </row>
    <row r="29" spans="1:8" ht="15.75" thickTop="1" x14ac:dyDescent="0.25"/>
  </sheetData>
  <mergeCells count="63">
    <mergeCell ref="A1:B1"/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A5:D5"/>
    <mergeCell ref="E5:F5"/>
    <mergeCell ref="G5:H5"/>
    <mergeCell ref="E6:F6"/>
    <mergeCell ref="G6:H6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F28:G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46</vt:i4>
      </vt:variant>
    </vt:vector>
  </HeadingPairs>
  <TitlesOfParts>
    <vt:vector size="46" baseType="lpstr">
      <vt:lpstr>PRODUTOS</vt:lpstr>
      <vt:lpstr>ListaIngredientes</vt:lpstr>
      <vt:lpstr>Violino</vt:lpstr>
      <vt:lpstr>BOLO GELADO ABACAXI</vt:lpstr>
      <vt:lpstr>BRIG COLHER</vt:lpstr>
      <vt:lpstr>BRIG UNITARIO</vt:lpstr>
      <vt:lpstr>BRIGADEIRO DUO</vt:lpstr>
      <vt:lpstr>BARRA DE CHOCOLATE</vt:lpstr>
      <vt:lpstr>CAJUZINHO</vt:lpstr>
      <vt:lpstr>BEIJINHO</vt:lpstr>
      <vt:lpstr>COCADA CREMOSA</vt:lpstr>
      <vt:lpstr>ALFAJOR</vt:lpstr>
      <vt:lpstr>PALHA ITALIANNA</vt:lpstr>
      <vt:lpstr>EMPADA DE FRANGO</vt:lpstr>
      <vt:lpstr>EMPADA DE CARNE SECA</vt:lpstr>
      <vt:lpstr>EMPADA DE CAMARÃO</vt:lpstr>
      <vt:lpstr>QUICHE DE FRANGO</vt:lpstr>
      <vt:lpstr>QUICHE BACON</vt:lpstr>
      <vt:lpstr>CHARGE</vt:lpstr>
      <vt:lpstr>BISCOITINHO DE COCO COM CANELA</vt:lpstr>
      <vt:lpstr>BISCOITINHO DE LIMÃO</vt:lpstr>
      <vt:lpstr>COOKIES</vt:lpstr>
      <vt:lpstr>PÃO DE FORMA</vt:lpstr>
      <vt:lpstr>GRANOLA</vt:lpstr>
      <vt:lpstr>TORTINHA DE FRANGO</vt:lpstr>
      <vt:lpstr>TORTINHA DE CAMARÃO</vt:lpstr>
      <vt:lpstr>BOLO DE PRESTIGIO</vt:lpstr>
      <vt:lpstr>TORTA SONHO DE VALSA</vt:lpstr>
      <vt:lpstr>NAKED P</vt:lpstr>
      <vt:lpstr>NAKED M</vt:lpstr>
      <vt:lpstr>NAKED G</vt:lpstr>
      <vt:lpstr>PIZZA</vt:lpstr>
      <vt:lpstr>TARTELETE</vt:lpstr>
      <vt:lpstr>MINI VULCÃO</vt:lpstr>
      <vt:lpstr>MUNGUNZÁ</vt:lpstr>
      <vt:lpstr>TORTA FUNCIONAL</vt:lpstr>
      <vt:lpstr>BOLO DE BANANA</vt:lpstr>
      <vt:lpstr>NAKED PP FUNCIONAL</vt:lpstr>
      <vt:lpstr>NAKED PP LOW CARB</vt:lpstr>
      <vt:lpstr>PANQUECA DE FRANGO</vt:lpstr>
      <vt:lpstr>PANQUECA DE CARNE</vt:lpstr>
      <vt:lpstr>LASANHA DE BERINJELA</vt:lpstr>
      <vt:lpstr>BERINJELA DE CARNE</vt:lpstr>
      <vt:lpstr>CALDO DE FRANGO</vt:lpstr>
      <vt:lpstr>CALDO DE CARNE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Ediberto Celestino</cp:lastModifiedBy>
  <cp:lastPrinted>2021-07-04T11:17:58Z</cp:lastPrinted>
  <dcterms:created xsi:type="dcterms:W3CDTF">2020-08-26T18:39:35Z</dcterms:created>
  <dcterms:modified xsi:type="dcterms:W3CDTF">2023-01-16T23:51:50Z</dcterms:modified>
</cp:coreProperties>
</file>